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yler\Documents\UWB3\Driverless\Spring26\DBW v5 final\"/>
    </mc:Choice>
  </mc:AlternateContent>
  <xr:revisionPtr revIDLastSave="0" documentId="13_ncr:1_{08EAF752-4120-49C6-8EAA-515F7D81D8DF}" xr6:coauthVersionLast="47" xr6:coauthVersionMax="47" xr10:uidLastSave="{00000000-0000-0000-0000-000000000000}"/>
  <bookViews>
    <workbookView xWindow="-90" yWindow="-90" windowWidth="19380" windowHeight="10980" xr2:uid="{00000000-000D-0000-FFFF-FFFF00000000}"/>
  </bookViews>
  <sheets>
    <sheet name="Sheet1" sheetId="1" r:id="rId1"/>
  </sheets>
  <definedNames>
    <definedName name="LowLevelv3" localSheetId="0">Sheet1!$A$1:$P$31</definedName>
  </definedNames>
  <calcPr calcId="181029"/>
</workbook>
</file>

<file path=xl/calcChain.xml><?xml version="1.0" encoding="utf-8"?>
<calcChain xmlns="http://schemas.openxmlformats.org/spreadsheetml/2006/main">
  <c r="G47" i="1" l="1"/>
  <c r="F18" i="1"/>
  <c r="G18" i="1" s="1"/>
  <c r="C18" i="1"/>
  <c r="D18" i="1" s="1"/>
  <c r="F17" i="1"/>
  <c r="G17" i="1" s="1"/>
  <c r="C17" i="1"/>
  <c r="D17" i="1" s="1"/>
  <c r="F16" i="1"/>
  <c r="G16" i="1" s="1"/>
  <c r="C16" i="1"/>
  <c r="D16" i="1" s="1"/>
  <c r="G19" i="1"/>
  <c r="C19" i="1"/>
  <c r="D19" i="1" s="1"/>
  <c r="F20" i="1"/>
  <c r="G20" i="1" s="1"/>
  <c r="C20" i="1"/>
  <c r="D20" i="1" s="1"/>
  <c r="G39" i="1" l="1"/>
  <c r="C39" i="1"/>
  <c r="F33" i="1"/>
  <c r="G33" i="1" s="1"/>
  <c r="C33" i="1"/>
  <c r="D33" i="1" s="1"/>
  <c r="F38" i="1"/>
  <c r="G38" i="1" s="1"/>
  <c r="F37" i="1"/>
  <c r="G37" i="1" s="1"/>
  <c r="F35" i="1"/>
  <c r="G35" i="1" s="1"/>
  <c r="F13" i="1"/>
  <c r="G13" i="1" s="1"/>
  <c r="F12" i="1"/>
  <c r="G12" i="1" s="1"/>
  <c r="C38" i="1"/>
  <c r="D38" i="1" s="1"/>
  <c r="C37" i="1"/>
  <c r="D37" i="1" s="1"/>
  <c r="G32" i="1"/>
  <c r="G28" i="1"/>
  <c r="C28" i="1"/>
  <c r="D28" i="1" s="1"/>
  <c r="G23" i="1"/>
  <c r="F22" i="1"/>
  <c r="G22" i="1" s="1"/>
  <c r="G29" i="1"/>
  <c r="C29" i="1"/>
  <c r="D29" i="1" s="1"/>
  <c r="F3" i="1"/>
  <c r="G3" i="1" s="1"/>
  <c r="C3" i="1"/>
  <c r="D3" i="1" s="1"/>
  <c r="C35" i="1"/>
  <c r="D35" i="1" s="1"/>
  <c r="C34" i="1"/>
  <c r="D34" i="1" s="1"/>
  <c r="C31" i="1"/>
  <c r="D31" i="1" s="1"/>
  <c r="C30" i="1"/>
  <c r="D30" i="1" s="1"/>
  <c r="C27" i="1"/>
  <c r="D27" i="1" s="1"/>
  <c r="C25" i="1"/>
  <c r="D25" i="1" s="1"/>
  <c r="C24" i="1"/>
  <c r="D24" i="1" s="1"/>
  <c r="C23" i="1"/>
  <c r="D23" i="1" s="1"/>
  <c r="C22" i="1"/>
  <c r="D22" i="1" s="1"/>
  <c r="C21" i="1"/>
  <c r="D21" i="1" s="1"/>
  <c r="C14" i="1"/>
  <c r="D14" i="1" s="1"/>
  <c r="C13" i="1"/>
  <c r="D13" i="1" s="1"/>
  <c r="C12" i="1"/>
  <c r="D12" i="1" s="1"/>
  <c r="C11" i="1"/>
  <c r="D11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F34" i="1"/>
  <c r="F31" i="1"/>
  <c r="G31" i="1" s="1"/>
  <c r="F30" i="1"/>
  <c r="G30" i="1" s="1"/>
  <c r="G27" i="1"/>
  <c r="G25" i="1"/>
  <c r="G24" i="1"/>
  <c r="F21" i="1"/>
  <c r="G21" i="1" s="1"/>
  <c r="F14" i="1"/>
  <c r="G14" i="1" s="1"/>
  <c r="F11" i="1"/>
  <c r="G11" i="1" s="1"/>
  <c r="F9" i="1"/>
  <c r="G9" i="1" s="1"/>
  <c r="F8" i="1"/>
  <c r="G8" i="1" s="1"/>
  <c r="F7" i="1"/>
  <c r="G7" i="1" s="1"/>
  <c r="F6" i="1"/>
  <c r="G6" i="1" s="1"/>
  <c r="F5" i="1"/>
  <c r="G5" i="1" s="1"/>
  <c r="G4" i="1"/>
  <c r="C40" i="1" l="1"/>
  <c r="D40" i="1"/>
  <c r="G40" i="1"/>
</calcChain>
</file>

<file path=xl/sharedStrings.xml><?xml version="1.0" encoding="utf-8"?>
<sst xmlns="http://schemas.openxmlformats.org/spreadsheetml/2006/main" count="222" uniqueCount="194">
  <si>
    <t>Components need to buy</t>
  </si>
  <si>
    <t>Qty</t>
  </si>
  <si>
    <t>unit price</t>
  </si>
  <si>
    <t>Device Name</t>
  </si>
  <si>
    <t>Value</t>
  </si>
  <si>
    <t>Digikey Part Number</t>
  </si>
  <si>
    <t>Package</t>
  </si>
  <si>
    <t>Part Label</t>
  </si>
  <si>
    <t>Description</t>
  </si>
  <si>
    <t>DESCRIPTION</t>
  </si>
  <si>
    <t>External Link</t>
  </si>
  <si>
    <t>Capcitors</t>
  </si>
  <si>
    <t>47uF</t>
  </si>
  <si>
    <t>399-ESS476M025AE2EACT-ND</t>
  </si>
  <si>
    <t>C16</t>
  </si>
  <si>
    <t>Aluminum Electrolytic Capacitors</t>
  </si>
  <si>
    <t>47 µF 25 V Aluminum Electrolytic Capacitors Radial, Can 1000 Hrs @ 105°C</t>
  </si>
  <si>
    <t>Diode</t>
  </si>
  <si>
    <t>1N4148FSCT-ND</t>
  </si>
  <si>
    <t>Cut Tape (CT)</t>
  </si>
  <si>
    <t>D11,D12,D13</t>
  </si>
  <si>
    <t>DIODE STANDARD 100V 200MA DO35</t>
  </si>
  <si>
    <t>Diode 100 V 200mA Through Hole DO-35</t>
  </si>
  <si>
    <t>4878-2N3904CT-ND</t>
  </si>
  <si>
    <t>Q1,Q2,Q3</t>
  </si>
  <si>
    <t>BJT</t>
  </si>
  <si>
    <t>Bipolar (BJT) Transistor NPN 40 V 200 mA 300MHz 625 mW Through Hole TO-92</t>
  </si>
  <si>
    <t>Test Points</t>
  </si>
  <si>
    <t>36-1033-ND</t>
  </si>
  <si>
    <t>DAC0,GND1</t>
  </si>
  <si>
    <t>PC TEST POINT LOOP</t>
  </si>
  <si>
    <t>PC Test Point, Loop Brass Tin Plating Through Hole Mounting Type</t>
  </si>
  <si>
    <t>Switch</t>
  </si>
  <si>
    <t>CKN9092-ND</t>
  </si>
  <si>
    <t>SW1</t>
  </si>
  <si>
    <t>SWITCH TACTILE SPST-NO 0.05A 12V</t>
  </si>
  <si>
    <t>Tactile Switch SPST-NO Top Actuated Through Hole</t>
  </si>
  <si>
    <t>R-78E5.0-0.5</t>
  </si>
  <si>
    <t>945-1648-5-ND</t>
  </si>
  <si>
    <t>U6</t>
  </si>
  <si>
    <t>Voltage regulator --5V</t>
  </si>
  <si>
    <t>Linear Regulator Replacement DC DC Converter 1 Output 5V 500mA 7V - 28V Input</t>
  </si>
  <si>
    <t>RJ_45</t>
  </si>
  <si>
    <t>609-1046-ND</t>
  </si>
  <si>
    <t>J1,J2,J3</t>
  </si>
  <si>
    <t>in stock,</t>
  </si>
  <si>
    <t>Pinheader-1x6</t>
  </si>
  <si>
    <t>S7004-ND</t>
  </si>
  <si>
    <t>J4,J5,J6</t>
  </si>
  <si>
    <t>Pin connector(female)</t>
  </si>
  <si>
    <t>Pinheader-1x4</t>
  </si>
  <si>
    <t>S7037-ND</t>
  </si>
  <si>
    <t>J7</t>
  </si>
  <si>
    <t>Pinheader-1x8</t>
  </si>
  <si>
    <t>S7006-ND</t>
  </si>
  <si>
    <t>J8</t>
  </si>
  <si>
    <t>JST Pinheader-1x6</t>
  </si>
  <si>
    <t>455-1568-1-ND</t>
  </si>
  <si>
    <t>J9</t>
  </si>
  <si>
    <t>CONN HEADER SMD R/A 6POS 1.25MM</t>
  </si>
  <si>
    <t>Connector Header Surface Mount, Right Angle 6 position 0.049" (1.25mm)</t>
  </si>
  <si>
    <t>JST Pinheader-1x4</t>
  </si>
  <si>
    <t>455-1566-1-ND</t>
  </si>
  <si>
    <t>J10,J11</t>
  </si>
  <si>
    <t>CONN HEADER SMD R/A 4POS 1.25MM</t>
  </si>
  <si>
    <t>Connector Header Surface Mount, Right Angle 4 position 0.049" (1.25mm)</t>
  </si>
  <si>
    <t>Stacking Pinheader-1x8</t>
  </si>
  <si>
    <t>HDR100IMP08F-G-V-ST</t>
  </si>
  <si>
    <t>J14,J15,J16,J18,J19</t>
  </si>
  <si>
    <t>0.1" 8 PIN VERTICAL FEMALE STACK</t>
  </si>
  <si>
    <t>8 Position Header Connector 0.100" (2.54mm) Through Hole Gold</t>
  </si>
  <si>
    <t>Stacking Pinheader-1x10</t>
  </si>
  <si>
    <t>920-0087-01</t>
  </si>
  <si>
    <t>J17</t>
  </si>
  <si>
    <t>CONN HDR 10POS 0.1 GLD PCB 1=6PC</t>
  </si>
  <si>
    <t>10 Position Header Connector 0.100" (2.54mm) Through Hole Gold</t>
  </si>
  <si>
    <t>Stacking Pinheader-2x18</t>
  </si>
  <si>
    <t>Uses 2 1x8 and 2 1x10</t>
  </si>
  <si>
    <t>HDR100IMP08F-G-V-ST &amp;  920-0087-01</t>
  </si>
  <si>
    <t>J20</t>
  </si>
  <si>
    <t>using two 1x8 and two 1x10</t>
  </si>
  <si>
    <t>The price here is for the 1x8 version. For the 1x10 version, it already includes more components, so there is no need to buy anything extra.</t>
  </si>
  <si>
    <t>Stacking Pinheader-2x3</t>
  </si>
  <si>
    <t>S7106-ND</t>
  </si>
  <si>
    <t>J21</t>
  </si>
  <si>
    <t>CONN HDR 6POS 0.1 GOLD PCB</t>
  </si>
  <si>
    <t>6 Position Header Connector 0.100" (2.54mm) Through Hole Gold</t>
  </si>
  <si>
    <t>Jack DC power</t>
  </si>
  <si>
    <t>839-54-00129-ND</t>
  </si>
  <si>
    <t>J22</t>
  </si>
  <si>
    <t>Jack DC power supply</t>
  </si>
  <si>
    <t>Power Barrel Connector Jack 2.10mm ID (0.083"), 5.50mm OD (0.217") Through Hole, Right Angle</t>
  </si>
  <si>
    <t>732-5316-ND</t>
  </si>
  <si>
    <t>JP5,JP6,JP7,JP8</t>
  </si>
  <si>
    <t>Jumpers using Connector Header</t>
  </si>
  <si>
    <t>Connector Header Through Hole 3 position 0.100" (2.54mm)</t>
  </si>
  <si>
    <t>Screw-terminal-1x5</t>
  </si>
  <si>
    <t>2861-ELK508V-05P-ND</t>
  </si>
  <si>
    <t>J12,J13</t>
  </si>
  <si>
    <t>Screw terminal</t>
  </si>
  <si>
    <t>TERM BLK 5POS 180DEG 5.08MM PCB, Max current is 13.5A,V 300V</t>
  </si>
  <si>
    <t>Relay</t>
  </si>
  <si>
    <t>2449-J107F1CS125VDC.36-ND</t>
  </si>
  <si>
    <t>K1,K2,K3</t>
  </si>
  <si>
    <t>RELAY GEN PURPOSE SPDT 12A 5V</t>
  </si>
  <si>
    <t>General Purpose Relay SPDT (1 Form C) 5VDC Coil Through Hole</t>
  </si>
  <si>
    <t>10 board</t>
  </si>
  <si>
    <t>Total</t>
  </si>
  <si>
    <t>On Hand</t>
  </si>
  <si>
    <t>Need</t>
  </si>
  <si>
    <t>Include 6</t>
  </si>
  <si>
    <t>board price</t>
  </si>
  <si>
    <t>Notes</t>
  </si>
  <si>
    <t>0 in stock</t>
  </si>
  <si>
    <t>https://www.digikey.com/en/products/detail/kemet/ess476m025ae2ea/13176268</t>
  </si>
  <si>
    <t>5x7 mm case 2mm pitch</t>
  </si>
  <si>
    <t>5x125 mm case 2mm pitch</t>
  </si>
  <si>
    <t>732-8823-1-ND </t>
  </si>
  <si>
    <t>47 µF 25 V Aluminum Electrolytic Capacitors Radial, Can 2000 Hrs @ 105°C</t>
  </si>
  <si>
    <t>https://www.digikey.com/en/products/detail/w%C3%BCrth-elektronik/860020472006/5727060</t>
  </si>
  <si>
    <t>https://www.digikey.com/en/products/detail/onsemi/1N4148TR/458811?s=N4IgTCBcDaIIwDkAsckA4BiBlAwgFQFoEAREAXQF8g</t>
  </si>
  <si>
    <t>2N3904 BJT</t>
  </si>
  <si>
    <t>https://www.digikey.com/en/products/detail/diotec-semiconductor/2N3904/13164701?s=N4IgTCBcDaICwA4DsCC0YByBmAnABjgGEAVVDAERAF0BfIA</t>
  </si>
  <si>
    <t>https://www.digikey.com/en/products/detail/keystone-electronics/1033/315149</t>
  </si>
  <si>
    <t>https://www.digikey.com/en/products/detail/c-k/PTS645SL50-2-LFS/1146781?s=N4IgTCBcDaIMIGkByBOADCsBaJAREAugL5A</t>
  </si>
  <si>
    <t>https://www.digikey.com/en/products/detail/recom-power/R-78E5-0-0-5/2834904?s=N4IgTCBcDaIJwBYCsBaAjANgQDhagcgCIgC6AvkA</t>
  </si>
  <si>
    <t>11.6x8.5x10.4 2.54 pitch</t>
  </si>
  <si>
    <t>Modular/Ethernet Connector (RJ45) Jack</t>
  </si>
  <si>
    <t>15.3x17.74x12.7</t>
  </si>
  <si>
    <t>https://www.digikey.com/en/products/detail/amphenol-cs-fci/54602-908LF/1001360?s=N4IgTCBcDaIGwAYCcBaAjAgLHFA5AIiALoC%2BQA</t>
  </si>
  <si>
    <t>https://www.digikey.com/en/products/detail/sullins-connector-solutions/PPTC061LFBN-RC/810145</t>
  </si>
  <si>
    <t>https://www.digikey.com/en/products/detail/sullins-connector-solutions/PPPC041LFBN-RC/810176</t>
  </si>
  <si>
    <t>https://www.digikey.com/en/products/detail/jst-sales-america-inc/SM06B-GHS-TB/807790?s=N4IgTCBcDaICwFYEFoCMCBsAONyByAIiALoC%2BQA</t>
  </si>
  <si>
    <t>https://www.digikey.com/en/products/detail/sullins-connector-solutions/PPTC081LFBN-RC/810147</t>
  </si>
  <si>
    <t>https://www.digikey.com/en/products/detail/jst-sales-america-inc/SM04B-GHS-TB/807788?s=N4IgTCBcDaICwFYEFoCMCBsG3IHIBEQBdAXyA</t>
  </si>
  <si>
    <t>Stacking Pinheader set</t>
  </si>
  <si>
    <t>https://www.adafruit.com/product/85</t>
  </si>
  <si>
    <t>1-2x3,2-1x6,2-1x8,1-1x10</t>
  </si>
  <si>
    <t>Stacking pinheader set</t>
  </si>
  <si>
    <t>5-1x36</t>
  </si>
  <si>
    <t>https://www.adafruit.com/product/3366</t>
  </si>
  <si>
    <t>J21,J17,J14,J15</t>
  </si>
  <si>
    <t>J20,J16,J18,J19</t>
  </si>
  <si>
    <t>https://www.digikey.com/en/products/detail/tensility-international-corp/54-00129/9685438?s=N4IgTCBcDaIBwGYCcBaArAFhQBmwRjFQDkAREAXQF8g</t>
  </si>
  <si>
    <t>Jumper pins</t>
  </si>
  <si>
    <t>Jumper shunts</t>
  </si>
  <si>
    <t>S9337-ND</t>
  </si>
  <si>
    <t>https://www.digikey.com/en/products/detail/sullins-connector-solutions/QPC02SXGN-RC/2618262</t>
  </si>
  <si>
    <t>https://www.digikey.com/en/products/detail/dinkle-corporation-usa/ELK508V-05P/17677381?s=N4IgTCBcDa4BwDYCMBaAogGQNIFYAMcAainjgAooByAIiALoC%2BQA</t>
  </si>
  <si>
    <t>https://www.digikey.com/en/products/detail/cit-relay-and-switch/J107F1CS125VDC-36/14002162?s=N4IgTCBcDa4CxwJwFoBSBGADAdgGLoGEBldMAVgDUARAgOgGYA2ZAOSpAF0BfIA</t>
  </si>
  <si>
    <t>Real time clock</t>
  </si>
  <si>
    <t>SD card board</t>
  </si>
  <si>
    <t>19x15x15.5</t>
  </si>
  <si>
    <t>RELAY GEN PURPOSE SPDT 15A 5V</t>
  </si>
  <si>
    <t>ORWH-SH-105D1F,000</t>
  </si>
  <si>
    <t>Clock battery</t>
  </si>
  <si>
    <t>16-30 AWG</t>
  </si>
  <si>
    <t>14-26 AWG</t>
  </si>
  <si>
    <t>TB0012-508-05GR</t>
  </si>
  <si>
    <t>TERM BLK 5POS 180DEG 5.08MM PCB, Max current is 12A,V 300V</t>
  </si>
  <si>
    <t>https://www.digikey.com/en/products/detail/same-sky-formerly-cui-devices/TB0012-508-05GR/26490319</t>
  </si>
  <si>
    <t>Stacking pinheade 1x6</t>
  </si>
  <si>
    <t>CR1220</t>
  </si>
  <si>
    <t>Adafruit</t>
  </si>
  <si>
    <t>254 out of stock</t>
  </si>
  <si>
    <t>Shipping</t>
  </si>
  <si>
    <t>Tax</t>
  </si>
  <si>
    <t>DigiKey</t>
  </si>
  <si>
    <t>Tariff</t>
  </si>
  <si>
    <t>Base</t>
  </si>
  <si>
    <t>JST out of stock</t>
  </si>
  <si>
    <t>SM06B-GHS-TB</t>
  </si>
  <si>
    <t>SM04B-GHS-TB</t>
  </si>
  <si>
    <t>WF 1.25MM 90 HF LCP-10155242-041</t>
  </si>
  <si>
    <t>10155242-04111LF</t>
  </si>
  <si>
    <t>Back order</t>
  </si>
  <si>
    <t>10114830-10106LF</t>
  </si>
  <si>
    <t>609-6042-1-ND</t>
  </si>
  <si>
    <t>609-10155242-04111LFCT-ND</t>
  </si>
  <si>
    <t>10155244-04111lf</t>
  </si>
  <si>
    <t>Male pinheader - 1x4</t>
  </si>
  <si>
    <t>Male pinheader - 1x6</t>
  </si>
  <si>
    <t>Female connector - 1x4</t>
  </si>
  <si>
    <t>Female connector - 1x6</t>
  </si>
  <si>
    <t>WM7624CT-ND</t>
  </si>
  <si>
    <t>Amphenol</t>
  </si>
  <si>
    <t>Molex</t>
  </si>
  <si>
    <t>WM1724-ND</t>
  </si>
  <si>
    <t>CONN SOCKET 26-28AWG CRIMP TIN</t>
  </si>
  <si>
    <t>Socket Contact Tin 26-28 AWG Crimp</t>
  </si>
  <si>
    <t>Pins for socket</t>
  </si>
  <si>
    <t>WM1142CT-ND</t>
  </si>
  <si>
    <t>609-10155244-04111LF-ND</t>
  </si>
  <si>
    <t>Substitute connectors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</si>
</sst>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164" formatCode="_ &quot;￥&quot;* #,##0.00_ ;_ &quot;￥&quot;* \-#,##0.00_ ;_ &quot;￥&quot;* &quot;-&quot;??_ ;_ @_ "/>
    <numFmt numFmtId="165" formatCode="_([$$-409]* #,##0.00_);_([$$-409]* \(#,##0.00\);_([$$-409]* &quot;-&quot;??_);_(@_)"/>
  </numFmts>
  <fonts count="43">
    <font>
      <sz val="12"/>
      <color rgb="FF000000"/>
      <name val="Calibri"/>
      <charset val="134"/>
    </font>
    <font>
      <sz val="12"/>
      <color rgb="FFFF0000"/>
      <name val="Calibri"/>
      <charset val="134"/>
    </font>
    <font>
      <sz val="11"/>
      <name val="Arial"/>
      <charset val="134"/>
    </font>
    <font>
      <sz val="11"/>
      <color rgb="FF00FFFF"/>
      <name val="Arial"/>
      <charset val="134"/>
    </font>
    <font>
      <b/>
      <sz val="11"/>
      <color rgb="FF000000"/>
      <name val="Arial"/>
      <charset val="134"/>
    </font>
    <font>
      <sz val="11"/>
      <color rgb="FFCFE2F3"/>
      <name val="Arial"/>
      <charset val="134"/>
    </font>
    <font>
      <sz val="12"/>
      <color rgb="FF9FC5E8"/>
      <name val="Calibri"/>
      <charset val="134"/>
    </font>
    <font>
      <sz val="11"/>
      <color rgb="FF000000"/>
      <name val="Arial"/>
      <charset val="134"/>
    </font>
    <font>
      <b/>
      <sz val="12"/>
      <color rgb="FF000000"/>
      <name val="Calibri"/>
      <charset val="134"/>
    </font>
    <font>
      <u/>
      <sz val="11"/>
      <color rgb="FF0000FF"/>
      <name val="Arial"/>
      <charset val="134"/>
    </font>
    <font>
      <sz val="12"/>
      <name val="Calibri"/>
      <charset val="134"/>
    </font>
    <font>
      <u/>
      <sz val="11"/>
      <color rgb="FF800080"/>
      <name val="Calibri"/>
      <charset val="134"/>
      <scheme val="minor"/>
    </font>
    <font>
      <sz val="11"/>
      <color rgb="FFFF0000"/>
      <name val="Arial"/>
      <charset val="134"/>
    </font>
    <font>
      <u/>
      <sz val="11"/>
      <color rgb="FF000000"/>
      <name val="Arial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444444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strike/>
      <sz val="11"/>
      <color rgb="FF000000"/>
      <name val="Arial"/>
      <family val="2"/>
    </font>
    <font>
      <strike/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trike/>
      <sz val="12"/>
      <color rgb="FF000000"/>
      <name val="Arial"/>
      <family val="2"/>
    </font>
    <font>
      <sz val="11"/>
      <color rgb="FF004F88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  <font>
      <sz val="12"/>
      <color rgb="FF0070C0"/>
      <name val="Calibri"/>
      <family val="2"/>
    </font>
    <font>
      <u/>
      <sz val="11"/>
      <color rgb="FF0070C0"/>
      <name val="Calibri"/>
      <family val="2"/>
      <scheme val="minor"/>
    </font>
    <font>
      <sz val="11"/>
      <color rgb="FFED0000"/>
      <name val="Arial"/>
      <charset val="134"/>
    </font>
    <font>
      <sz val="12"/>
      <color rgb="FFED0000"/>
      <name val="Calibri"/>
      <charset val="134"/>
    </font>
    <font>
      <sz val="11"/>
      <color rgb="FFED0000"/>
      <name val="Arial"/>
      <family val="2"/>
    </font>
    <font>
      <u/>
      <sz val="11"/>
      <color rgb="FFED0000"/>
      <name val="Calibri"/>
      <charset val="134"/>
      <scheme val="minor"/>
    </font>
    <font>
      <b/>
      <sz val="12"/>
      <color rgb="FFED0000"/>
      <name val="Calibri"/>
      <charset val="134"/>
    </font>
    <font>
      <sz val="11"/>
      <color rgb="FF388600"/>
      <name val="Arial"/>
      <family val="2"/>
    </font>
    <font>
      <sz val="12"/>
      <color rgb="FF388600"/>
      <name val="Calibri"/>
      <family val="2"/>
    </font>
    <font>
      <b/>
      <sz val="11"/>
      <color rgb="FF388600"/>
      <name val="Arial"/>
      <family val="2"/>
    </font>
    <font>
      <strike/>
      <sz val="11"/>
      <color rgb="FF388600"/>
      <name val="Arial"/>
      <family val="2"/>
    </font>
    <font>
      <b/>
      <strike/>
      <sz val="11"/>
      <color rgb="FF388600"/>
      <name val="Arial"/>
      <family val="2"/>
    </font>
    <font>
      <strike/>
      <sz val="12"/>
      <color rgb="FF3886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12">
    <xf numFmtId="0" fontId="0" fillId="0" borderId="0" xfId="0"/>
    <xf numFmtId="0" fontId="6" fillId="0" borderId="0" xfId="0" applyFont="1"/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8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9" fillId="0" borderId="0" xfId="0" applyFont="1"/>
    <xf numFmtId="0" fontId="7" fillId="0" borderId="0" xfId="0" applyFont="1" applyAlignment="1">
      <alignment wrapText="1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2" applyFont="1" applyAlignment="1">
      <alignment vertical="top"/>
    </xf>
    <xf numFmtId="0" fontId="1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wrapText="1"/>
    </xf>
    <xf numFmtId="165" fontId="2" fillId="0" borderId="0" xfId="1" applyNumberFormat="1" applyFont="1" applyAlignment="1"/>
    <xf numFmtId="165" fontId="0" fillId="0" borderId="0" xfId="1" applyNumberFormat="1" applyFont="1" applyAlignment="1"/>
    <xf numFmtId="165" fontId="7" fillId="0" borderId="0" xfId="0" applyNumberFormat="1" applyFont="1" applyAlignment="1">
      <alignment vertical="center"/>
    </xf>
    <xf numFmtId="0" fontId="17" fillId="0" borderId="0" xfId="0" applyFont="1"/>
    <xf numFmtId="0" fontId="19" fillId="0" borderId="0" xfId="0" applyFont="1"/>
    <xf numFmtId="0" fontId="20" fillId="0" borderId="0" xfId="0" applyFont="1"/>
    <xf numFmtId="0" fontId="18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5" fillId="0" borderId="0" xfId="0" applyFont="1"/>
    <xf numFmtId="0" fontId="12" fillId="0" borderId="0" xfId="0" applyFont="1" applyFill="1"/>
    <xf numFmtId="0" fontId="12" fillId="0" borderId="0" xfId="0" applyFont="1" applyFill="1" applyAlignment="1">
      <alignment horizontal="center" vertical="center"/>
    </xf>
    <xf numFmtId="0" fontId="1" fillId="0" borderId="0" xfId="0" applyFont="1" applyFill="1"/>
    <xf numFmtId="0" fontId="20" fillId="0" borderId="0" xfId="0" applyFont="1" applyFill="1" applyAlignment="1">
      <alignment horizontal="left"/>
    </xf>
    <xf numFmtId="0" fontId="20" fillId="0" borderId="0" xfId="0" applyFont="1" applyFill="1"/>
    <xf numFmtId="0" fontId="27" fillId="0" borderId="0" xfId="0" applyFont="1"/>
    <xf numFmtId="0" fontId="28" fillId="0" borderId="0" xfId="0" applyFont="1"/>
    <xf numFmtId="8" fontId="28" fillId="0" borderId="0" xfId="0" applyNumberFormat="1" applyFont="1"/>
    <xf numFmtId="0" fontId="28" fillId="0" borderId="0" xfId="0" applyFont="1" applyAlignment="1">
      <alignment horizontal="left"/>
    </xf>
    <xf numFmtId="165" fontId="28" fillId="0" borderId="0" xfId="1" applyNumberFormat="1" applyFont="1" applyAlignment="1"/>
    <xf numFmtId="0" fontId="29" fillId="0" borderId="0" xfId="0" applyFont="1"/>
    <xf numFmtId="165" fontId="30" fillId="0" borderId="0" xfId="1" applyNumberFormat="1" applyFont="1" applyAlignment="1"/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65" fontId="30" fillId="0" borderId="0" xfId="0" applyNumberFormat="1" applyFont="1"/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wrapText="1"/>
    </xf>
    <xf numFmtId="0" fontId="31" fillId="0" borderId="0" xfId="2" applyFont="1" applyAlignment="1">
      <alignment vertical="top"/>
    </xf>
    <xf numFmtId="0" fontId="22" fillId="3" borderId="0" xfId="0" applyFont="1" applyFill="1"/>
    <xf numFmtId="0" fontId="21" fillId="3" borderId="0" xfId="0" applyFont="1" applyFill="1"/>
    <xf numFmtId="165" fontId="21" fillId="3" borderId="0" xfId="1" applyNumberFormat="1" applyFont="1" applyFill="1" applyAlignment="1"/>
    <xf numFmtId="165" fontId="26" fillId="3" borderId="0" xfId="1" applyNumberFormat="1" applyFont="1" applyFill="1" applyAlignment="1"/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 vertical="center"/>
    </xf>
    <xf numFmtId="0" fontId="17" fillId="3" borderId="0" xfId="0" applyFont="1" applyFill="1"/>
    <xf numFmtId="0" fontId="2" fillId="3" borderId="0" xfId="0" applyFont="1" applyFill="1"/>
    <xf numFmtId="0" fontId="22" fillId="3" borderId="0" xfId="0" applyFont="1" applyFill="1" applyAlignment="1">
      <alignment wrapText="1"/>
    </xf>
    <xf numFmtId="0" fontId="7" fillId="3" borderId="0" xfId="0" applyFont="1" applyFill="1"/>
    <xf numFmtId="0" fontId="7" fillId="3" borderId="0" xfId="0" applyFont="1" applyFill="1" applyAlignment="1">
      <alignment vertical="center"/>
    </xf>
    <xf numFmtId="165" fontId="2" fillId="3" borderId="0" xfId="1" applyNumberFormat="1" applyFont="1" applyFill="1" applyAlignment="1"/>
    <xf numFmtId="0" fontId="25" fillId="3" borderId="0" xfId="0" applyFont="1" applyFill="1"/>
    <xf numFmtId="165" fontId="0" fillId="3" borderId="0" xfId="1" applyNumberFormat="1" applyFont="1" applyFill="1" applyAlignment="1"/>
    <xf numFmtId="0" fontId="22" fillId="3" borderId="0" xfId="0" applyFont="1" applyFill="1" applyAlignment="1">
      <alignment horizontal="left"/>
    </xf>
    <xf numFmtId="0" fontId="22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1" fillId="3" borderId="0" xfId="0" applyFont="1" applyFill="1" applyAlignment="1">
      <alignment vertical="center" wrapText="1"/>
    </xf>
    <xf numFmtId="0" fontId="11" fillId="3" borderId="0" xfId="2" applyFont="1" applyFill="1" applyAlignment="1">
      <alignment vertical="top"/>
    </xf>
    <xf numFmtId="0" fontId="21" fillId="3" borderId="0" xfId="0" applyFont="1" applyFill="1" applyAlignment="1">
      <alignment vertical="center"/>
    </xf>
    <xf numFmtId="0" fontId="23" fillId="3" borderId="0" xfId="0" applyFont="1" applyFill="1"/>
    <xf numFmtId="0" fontId="17" fillId="3" borderId="0" xfId="0" applyFont="1" applyFill="1" applyAlignment="1">
      <alignment horizontal="center"/>
    </xf>
    <xf numFmtId="0" fontId="21" fillId="3" borderId="0" xfId="0" applyFont="1" applyFill="1" applyAlignment="1">
      <alignment wrapText="1"/>
    </xf>
    <xf numFmtId="0" fontId="0" fillId="3" borderId="0" xfId="0" applyFill="1"/>
    <xf numFmtId="14" fontId="2" fillId="0" borderId="0" xfId="0" applyNumberFormat="1" applyFont="1"/>
    <xf numFmtId="0" fontId="32" fillId="0" borderId="0" xfId="0" applyFont="1"/>
    <xf numFmtId="0" fontId="32" fillId="0" borderId="0" xfId="0" applyFont="1" applyAlignment="1">
      <alignment vertical="center"/>
    </xf>
    <xf numFmtId="165" fontId="32" fillId="0" borderId="0" xfId="1" applyNumberFormat="1" applyFont="1" applyAlignment="1"/>
    <xf numFmtId="165" fontId="33" fillId="0" borderId="0" xfId="1" applyNumberFormat="1" applyFont="1" applyAlignmen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2" fillId="0" borderId="0" xfId="0" applyFont="1" applyAlignment="1">
      <alignment wrapText="1"/>
    </xf>
    <xf numFmtId="0" fontId="35" fillId="0" borderId="0" xfId="2" applyFont="1" applyAlignment="1">
      <alignment vertical="center"/>
    </xf>
    <xf numFmtId="0" fontId="36" fillId="0" borderId="0" xfId="0" applyFont="1"/>
    <xf numFmtId="0" fontId="33" fillId="0" borderId="0" xfId="0" applyFont="1"/>
    <xf numFmtId="0" fontId="37" fillId="0" borderId="0" xfId="0" applyFont="1"/>
    <xf numFmtId="165" fontId="38" fillId="0" borderId="0" xfId="1" applyNumberFormat="1" applyFont="1" applyAlignment="1"/>
    <xf numFmtId="0" fontId="38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wrapText="1"/>
    </xf>
    <xf numFmtId="0" fontId="37" fillId="0" borderId="0" xfId="0" applyFont="1" applyAlignment="1">
      <alignment horizontal="left"/>
    </xf>
    <xf numFmtId="165" fontId="37" fillId="0" borderId="0" xfId="1" applyNumberFormat="1" applyFont="1" applyAlignment="1"/>
    <xf numFmtId="0" fontId="39" fillId="0" borderId="0" xfId="0" applyFont="1"/>
    <xf numFmtId="0" fontId="40" fillId="0" borderId="0" xfId="0" applyFont="1"/>
    <xf numFmtId="165" fontId="40" fillId="0" borderId="0" xfId="1" applyNumberFormat="1" applyFont="1" applyAlignment="1"/>
    <xf numFmtId="0" fontId="41" fillId="0" borderId="0" xfId="0" applyFont="1"/>
    <xf numFmtId="165" fontId="42" fillId="0" borderId="0" xfId="1" applyNumberFormat="1" applyFont="1" applyAlignment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wrapText="1"/>
    </xf>
    <xf numFmtId="0" fontId="42" fillId="0" borderId="0" xfId="0" applyFont="1"/>
    <xf numFmtId="14" fontId="38" fillId="0" borderId="0" xfId="0" applyNumberFormat="1" applyFont="1"/>
    <xf numFmtId="8" fontId="7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jst-sales-america-inc/SM06B-GHS-TB/807790?s=N4IgTCBcDaICwFYEFoCMCBsAONyByAIi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017"/>
  <sheetViews>
    <sheetView tabSelected="1" topLeftCell="A29" workbookViewId="0">
      <selection activeCell="G48" sqref="G48"/>
    </sheetView>
  </sheetViews>
  <sheetFormatPr defaultColWidth="11.20703125" defaultRowHeight="15" customHeight="1"/>
  <cols>
    <col min="1" max="1" width="4" customWidth="1"/>
    <col min="2" max="3" width="11.875" customWidth="1"/>
    <col min="4" max="4" width="9.875" customWidth="1"/>
    <col min="5" max="5" width="9.25" customWidth="1"/>
    <col min="6" max="6" width="6.875" customWidth="1"/>
    <col min="7" max="7" width="10.375" customWidth="1"/>
    <col min="8" max="8" width="22.08203125" customWidth="1"/>
    <col min="9" max="9" width="14.7890625" customWidth="1"/>
    <col min="10" max="10" width="8.4140625" customWidth="1"/>
    <col min="11" max="11" width="33.83203125" customWidth="1"/>
    <col min="12" max="12" width="22.625" customWidth="1"/>
    <col min="13" max="13" width="18.625" customWidth="1"/>
    <col min="14" max="14" width="35.45703125" customWidth="1"/>
    <col min="15" max="15" width="92.20703125" customWidth="1"/>
    <col min="16" max="16" width="45.58203125" customWidth="1"/>
    <col min="17" max="17" width="10.58203125" customWidth="1"/>
  </cols>
  <sheetData>
    <row r="1" spans="1:17" ht="15.75" customHeight="1">
      <c r="A1" s="6"/>
      <c r="B1" s="6"/>
      <c r="C1" s="6"/>
      <c r="D1" s="6"/>
      <c r="E1" s="6"/>
      <c r="F1" s="6"/>
      <c r="G1" s="6"/>
      <c r="H1" s="7"/>
      <c r="I1" s="8" t="s">
        <v>0</v>
      </c>
      <c r="J1" s="9"/>
      <c r="K1" s="7"/>
      <c r="L1" s="7"/>
      <c r="M1" s="7"/>
      <c r="N1" s="7"/>
      <c r="O1" s="10"/>
      <c r="P1" s="10"/>
      <c r="Q1" s="1"/>
    </row>
    <row r="2" spans="1:17" ht="15.75" customHeight="1">
      <c r="A2" s="11" t="s">
        <v>1</v>
      </c>
      <c r="B2" s="11" t="s">
        <v>2</v>
      </c>
      <c r="C2" s="11" t="s">
        <v>111</v>
      </c>
      <c r="D2" s="11" t="s">
        <v>106</v>
      </c>
      <c r="E2" s="11" t="s">
        <v>108</v>
      </c>
      <c r="F2" s="11" t="s">
        <v>109</v>
      </c>
      <c r="G2" s="11" t="s">
        <v>107</v>
      </c>
      <c r="H2" s="11" t="s">
        <v>3</v>
      </c>
      <c r="I2" s="5" t="s">
        <v>4</v>
      </c>
      <c r="J2" s="12" t="s">
        <v>112</v>
      </c>
      <c r="K2" s="11" t="s">
        <v>5</v>
      </c>
      <c r="L2" s="11" t="s">
        <v>6</v>
      </c>
      <c r="M2" s="13" t="s">
        <v>7</v>
      </c>
      <c r="N2" s="11" t="s">
        <v>8</v>
      </c>
      <c r="O2" s="11" t="s">
        <v>9</v>
      </c>
      <c r="P2" s="11" t="s">
        <v>10</v>
      </c>
      <c r="Q2" s="14"/>
    </row>
    <row r="3" spans="1:17" ht="15.75" customHeight="1">
      <c r="A3" s="2">
        <v>1</v>
      </c>
      <c r="B3" s="2">
        <v>0.1</v>
      </c>
      <c r="C3" s="2">
        <f>A3*B3</f>
        <v>0.1</v>
      </c>
      <c r="D3" s="28">
        <f>C3*10</f>
        <v>1</v>
      </c>
      <c r="E3" s="2">
        <v>0</v>
      </c>
      <c r="F3" s="2">
        <f>A3*10-E3</f>
        <v>10</v>
      </c>
      <c r="G3" s="29">
        <f>F3*B3</f>
        <v>1</v>
      </c>
      <c r="H3" s="2" t="s">
        <v>11</v>
      </c>
      <c r="I3" s="4" t="s">
        <v>12</v>
      </c>
      <c r="J3" s="12"/>
      <c r="K3" s="32" t="s">
        <v>117</v>
      </c>
      <c r="L3" s="31" t="s">
        <v>116</v>
      </c>
      <c r="M3" s="16" t="s">
        <v>14</v>
      </c>
      <c r="N3" s="2" t="s">
        <v>15</v>
      </c>
      <c r="O3" s="33" t="s">
        <v>118</v>
      </c>
      <c r="P3" t="s">
        <v>119</v>
      </c>
      <c r="Q3" s="14"/>
    </row>
    <row r="4" spans="1:17" ht="15.75" customHeight="1">
      <c r="A4" s="59">
        <v>1</v>
      </c>
      <c r="B4" s="59">
        <v>0.11799999999999999</v>
      </c>
      <c r="C4" s="59">
        <f>A4*B4</f>
        <v>0.11799999999999999</v>
      </c>
      <c r="D4" s="60">
        <f>C4*10</f>
        <v>1.18</v>
      </c>
      <c r="E4" s="59">
        <v>0</v>
      </c>
      <c r="F4" s="65">
        <v>0</v>
      </c>
      <c r="G4" s="71">
        <f>F4*B4</f>
        <v>0</v>
      </c>
      <c r="H4" s="59" t="s">
        <v>11</v>
      </c>
      <c r="I4" s="72" t="s">
        <v>12</v>
      </c>
      <c r="J4" s="79" t="s">
        <v>113</v>
      </c>
      <c r="K4" s="58" t="s">
        <v>13</v>
      </c>
      <c r="L4" s="58" t="s">
        <v>115</v>
      </c>
      <c r="M4" s="80" t="s">
        <v>14</v>
      </c>
      <c r="N4" s="59" t="s">
        <v>15</v>
      </c>
      <c r="O4" s="59" t="s">
        <v>16</v>
      </c>
      <c r="P4" s="58" t="s">
        <v>114</v>
      </c>
      <c r="Q4" s="81"/>
    </row>
    <row r="5" spans="1:17" ht="15.75" customHeight="1">
      <c r="A5" s="3">
        <v>3</v>
      </c>
      <c r="B5" s="3">
        <v>5.5E-2</v>
      </c>
      <c r="C5" s="2">
        <f t="shared" ref="C5:C9" si="0">A5*B5</f>
        <v>0.16500000000000001</v>
      </c>
      <c r="D5" s="28">
        <f t="shared" ref="D5:D9" si="1">C5*10</f>
        <v>1.6500000000000001</v>
      </c>
      <c r="E5" s="2">
        <v>0</v>
      </c>
      <c r="F5" s="2">
        <f t="shared" ref="F5:F9" si="2">A5*10-E5</f>
        <v>30</v>
      </c>
      <c r="G5" s="29">
        <f t="shared" ref="G5:G9" si="3">F5*B5</f>
        <v>1.65</v>
      </c>
      <c r="H5" s="3" t="s">
        <v>17</v>
      </c>
      <c r="I5" s="3"/>
      <c r="J5" s="15"/>
      <c r="K5" s="31" t="s">
        <v>18</v>
      </c>
      <c r="L5" s="3" t="s">
        <v>19</v>
      </c>
      <c r="M5" s="18" t="s">
        <v>20</v>
      </c>
      <c r="N5" s="3" t="s">
        <v>21</v>
      </c>
      <c r="O5" s="3" t="s">
        <v>22</v>
      </c>
      <c r="P5" s="3" t="s">
        <v>120</v>
      </c>
      <c r="Q5" s="19"/>
    </row>
    <row r="6" spans="1:17" ht="15.75" customHeight="1">
      <c r="A6" s="3">
        <v>3</v>
      </c>
      <c r="B6" s="3">
        <v>8.7999999999999995E-2</v>
      </c>
      <c r="C6" s="2">
        <f t="shared" si="0"/>
        <v>0.26400000000000001</v>
      </c>
      <c r="D6" s="28">
        <f t="shared" si="1"/>
        <v>2.64</v>
      </c>
      <c r="E6" s="2">
        <v>0</v>
      </c>
      <c r="F6" s="2">
        <f t="shared" si="2"/>
        <v>30</v>
      </c>
      <c r="G6" s="29">
        <f t="shared" si="3"/>
        <v>2.6399999999999997</v>
      </c>
      <c r="H6" s="31" t="s">
        <v>121</v>
      </c>
      <c r="I6" s="3"/>
      <c r="J6" s="15"/>
      <c r="K6" s="31" t="s">
        <v>23</v>
      </c>
      <c r="L6" s="3"/>
      <c r="M6" s="18" t="s">
        <v>24</v>
      </c>
      <c r="N6" s="3" t="s">
        <v>25</v>
      </c>
      <c r="O6" s="3" t="s">
        <v>26</v>
      </c>
      <c r="P6" s="3" t="s">
        <v>122</v>
      </c>
      <c r="Q6" s="19"/>
    </row>
    <row r="7" spans="1:17" ht="15.75" customHeight="1">
      <c r="A7" s="2">
        <v>2</v>
      </c>
      <c r="B7" s="2">
        <v>0.23</v>
      </c>
      <c r="C7" s="2">
        <f t="shared" si="0"/>
        <v>0.46</v>
      </c>
      <c r="D7" s="28">
        <f t="shared" si="1"/>
        <v>4.6000000000000005</v>
      </c>
      <c r="E7" s="2">
        <v>0</v>
      </c>
      <c r="F7" s="2">
        <f t="shared" si="2"/>
        <v>20</v>
      </c>
      <c r="G7" s="29">
        <f t="shared" si="3"/>
        <v>4.6000000000000005</v>
      </c>
      <c r="H7" s="2" t="s">
        <v>27</v>
      </c>
      <c r="I7" s="4"/>
      <c r="J7" s="15"/>
      <c r="K7" s="31" t="s">
        <v>28</v>
      </c>
      <c r="L7" s="2"/>
      <c r="M7" s="16" t="s">
        <v>29</v>
      </c>
      <c r="N7" s="2" t="s">
        <v>30</v>
      </c>
      <c r="O7" s="2" t="s">
        <v>31</v>
      </c>
      <c r="P7" s="2" t="s">
        <v>123</v>
      </c>
    </row>
    <row r="8" spans="1:17" ht="15.75" customHeight="1">
      <c r="A8" s="3">
        <v>1</v>
      </c>
      <c r="B8" s="3">
        <v>0.214</v>
      </c>
      <c r="C8" s="2">
        <f t="shared" si="0"/>
        <v>0.214</v>
      </c>
      <c r="D8" s="28">
        <f t="shared" si="1"/>
        <v>2.14</v>
      </c>
      <c r="E8" s="2">
        <v>0</v>
      </c>
      <c r="F8" s="2">
        <f t="shared" si="2"/>
        <v>10</v>
      </c>
      <c r="G8" s="29">
        <f t="shared" si="3"/>
        <v>2.14</v>
      </c>
      <c r="H8" s="3" t="s">
        <v>32</v>
      </c>
      <c r="I8" s="3"/>
      <c r="J8" s="15"/>
      <c r="K8" s="31" t="s">
        <v>33</v>
      </c>
      <c r="L8" s="3"/>
      <c r="M8" s="18" t="s">
        <v>34</v>
      </c>
      <c r="N8" s="3" t="s">
        <v>35</v>
      </c>
      <c r="O8" s="3" t="s">
        <v>36</v>
      </c>
      <c r="P8" s="3" t="s">
        <v>124</v>
      </c>
      <c r="Q8" s="19"/>
    </row>
    <row r="9" spans="1:17" ht="15.75" customHeight="1">
      <c r="A9" s="3">
        <v>1</v>
      </c>
      <c r="B9" s="3">
        <v>3.19</v>
      </c>
      <c r="C9" s="2">
        <f t="shared" si="0"/>
        <v>3.19</v>
      </c>
      <c r="D9" s="28">
        <f t="shared" si="1"/>
        <v>31.9</v>
      </c>
      <c r="E9" s="2">
        <v>0</v>
      </c>
      <c r="F9" s="2">
        <f t="shared" si="2"/>
        <v>10</v>
      </c>
      <c r="G9" s="29">
        <f t="shared" si="3"/>
        <v>31.9</v>
      </c>
      <c r="H9" s="3" t="s">
        <v>37</v>
      </c>
      <c r="I9" s="3"/>
      <c r="J9" s="37"/>
      <c r="K9" s="31" t="s">
        <v>38</v>
      </c>
      <c r="L9" s="31" t="s">
        <v>126</v>
      </c>
      <c r="M9" s="18" t="s">
        <v>39</v>
      </c>
      <c r="N9" s="3" t="s">
        <v>40</v>
      </c>
      <c r="O9" s="3" t="s">
        <v>41</v>
      </c>
      <c r="P9" s="3" t="s">
        <v>125</v>
      </c>
      <c r="Q9" s="19"/>
    </row>
    <row r="11" spans="1:17" ht="15" customHeight="1">
      <c r="A11" s="3">
        <v>3</v>
      </c>
      <c r="B11" s="3">
        <v>0.65900000000000003</v>
      </c>
      <c r="C11" s="2">
        <f t="shared" ref="C11:C31" si="4">A11*B11</f>
        <v>1.9770000000000001</v>
      </c>
      <c r="D11" s="28">
        <f t="shared" ref="D11:D31" si="5">C11*10</f>
        <v>19.77</v>
      </c>
      <c r="E11" s="38">
        <v>10</v>
      </c>
      <c r="F11" s="2">
        <f t="shared" ref="F11:F31" si="6">A11*10-E11</f>
        <v>20</v>
      </c>
      <c r="G11" s="29">
        <f t="shared" ref="G11:G31" si="7">F11*B11</f>
        <v>13.18</v>
      </c>
      <c r="H11" s="3" t="s">
        <v>42</v>
      </c>
      <c r="J11" s="20"/>
      <c r="K11" s="34" t="s">
        <v>43</v>
      </c>
      <c r="L11" s="34" t="s">
        <v>128</v>
      </c>
      <c r="M11" s="18" t="s">
        <v>44</v>
      </c>
      <c r="N11" s="2" t="s">
        <v>127</v>
      </c>
      <c r="O11" s="2" t="s">
        <v>45</v>
      </c>
      <c r="P11" t="s">
        <v>129</v>
      </c>
    </row>
    <row r="12" spans="1:17" ht="15.75" customHeight="1">
      <c r="A12" s="3">
        <v>3</v>
      </c>
      <c r="B12" s="3">
        <v>0.35299999999999998</v>
      </c>
      <c r="C12" s="2">
        <f t="shared" si="4"/>
        <v>1.0589999999999999</v>
      </c>
      <c r="D12" s="28">
        <f t="shared" si="5"/>
        <v>10.59</v>
      </c>
      <c r="E12" s="38">
        <v>24</v>
      </c>
      <c r="F12" s="2">
        <f t="shared" si="6"/>
        <v>6</v>
      </c>
      <c r="G12" s="29">
        <f t="shared" si="7"/>
        <v>2.1179999999999999</v>
      </c>
      <c r="H12" s="3" t="s">
        <v>46</v>
      </c>
      <c r="I12" s="4"/>
      <c r="J12" s="20"/>
      <c r="K12" s="31" t="s">
        <v>47</v>
      </c>
      <c r="L12" s="2"/>
      <c r="M12" s="18" t="s">
        <v>48</v>
      </c>
      <c r="N12" s="2" t="s">
        <v>49</v>
      </c>
      <c r="P12" s="31" t="s">
        <v>130</v>
      </c>
      <c r="Q12" s="14"/>
    </row>
    <row r="13" spans="1:17" ht="15.75" customHeight="1">
      <c r="A13" s="3">
        <v>1</v>
      </c>
      <c r="B13" s="3">
        <v>0.32100000000000001</v>
      </c>
      <c r="C13" s="2">
        <f t="shared" si="4"/>
        <v>0.32100000000000001</v>
      </c>
      <c r="D13" s="28">
        <f t="shared" si="5"/>
        <v>3.21</v>
      </c>
      <c r="E13" s="38">
        <v>10</v>
      </c>
      <c r="F13" s="2">
        <f t="shared" si="6"/>
        <v>0</v>
      </c>
      <c r="G13" s="29">
        <f t="shared" si="7"/>
        <v>0</v>
      </c>
      <c r="H13" s="3" t="s">
        <v>50</v>
      </c>
      <c r="I13" s="4"/>
      <c r="J13" s="20"/>
      <c r="K13" s="3" t="s">
        <v>51</v>
      </c>
      <c r="L13" s="2"/>
      <c r="M13" s="18" t="s">
        <v>52</v>
      </c>
      <c r="N13" s="2" t="s">
        <v>49</v>
      </c>
      <c r="O13" s="2"/>
      <c r="P13" s="31" t="s">
        <v>131</v>
      </c>
      <c r="Q13" s="14"/>
    </row>
    <row r="14" spans="1:17" ht="15.75" customHeight="1">
      <c r="A14" s="3">
        <v>1</v>
      </c>
      <c r="B14" s="3">
        <v>0.435</v>
      </c>
      <c r="C14" s="2">
        <f t="shared" si="4"/>
        <v>0.435</v>
      </c>
      <c r="D14" s="28">
        <f t="shared" si="5"/>
        <v>4.3499999999999996</v>
      </c>
      <c r="E14" s="38">
        <v>10</v>
      </c>
      <c r="F14" s="2">
        <f t="shared" si="6"/>
        <v>0</v>
      </c>
      <c r="G14" s="29">
        <f t="shared" si="7"/>
        <v>0</v>
      </c>
      <c r="H14" s="3" t="s">
        <v>53</v>
      </c>
      <c r="I14" s="4"/>
      <c r="J14" s="20"/>
      <c r="K14" s="31" t="s">
        <v>54</v>
      </c>
      <c r="L14" s="2"/>
      <c r="M14" s="18" t="s">
        <v>55</v>
      </c>
      <c r="N14" s="2" t="s">
        <v>49</v>
      </c>
      <c r="O14" s="2"/>
      <c r="P14" s="31" t="s">
        <v>133</v>
      </c>
      <c r="Q14" s="14"/>
    </row>
    <row r="15" spans="1:17" ht="15.75" customHeight="1">
      <c r="A15" s="3"/>
      <c r="B15" s="3"/>
      <c r="C15" s="2"/>
      <c r="D15" s="28"/>
      <c r="E15" s="38"/>
      <c r="F15" s="94">
        <v>200</v>
      </c>
      <c r="G15" s="95">
        <v>5.84</v>
      </c>
      <c r="H15" s="94" t="s">
        <v>190</v>
      </c>
      <c r="I15" s="99">
        <v>500798000</v>
      </c>
      <c r="J15" s="97"/>
      <c r="K15" s="94" t="s">
        <v>191</v>
      </c>
      <c r="L15" s="94" t="s">
        <v>186</v>
      </c>
      <c r="M15" s="18"/>
      <c r="N15" s="94" t="s">
        <v>188</v>
      </c>
      <c r="O15" s="94" t="s">
        <v>189</v>
      </c>
      <c r="P15" s="31"/>
      <c r="Q15" s="14"/>
    </row>
    <row r="16" spans="1:17" ht="15.75" customHeight="1">
      <c r="A16" s="94">
        <v>1</v>
      </c>
      <c r="B16" s="94">
        <v>0.19700000000000001</v>
      </c>
      <c r="C16" s="94">
        <f t="shared" ref="C16:C18" si="8">A16*B16</f>
        <v>0.19700000000000001</v>
      </c>
      <c r="D16" s="100">
        <f t="shared" ref="D16:D18" si="9">C16*10</f>
        <v>1.9700000000000002</v>
      </c>
      <c r="E16" s="101">
        <v>0</v>
      </c>
      <c r="F16" s="94">
        <f t="shared" ref="F16:F18" si="10">A16*10-E16</f>
        <v>10</v>
      </c>
      <c r="G16" s="95">
        <f t="shared" ref="G16:G18" si="11">F16*B16</f>
        <v>1.9700000000000002</v>
      </c>
      <c r="H16" s="94" t="s">
        <v>183</v>
      </c>
      <c r="I16" s="96">
        <v>510210600</v>
      </c>
      <c r="J16" s="97"/>
      <c r="K16" s="94" t="s">
        <v>187</v>
      </c>
      <c r="L16" s="94" t="s">
        <v>186</v>
      </c>
      <c r="M16" s="98"/>
      <c r="P16" s="31"/>
      <c r="Q16" s="14"/>
    </row>
    <row r="17" spans="1:21" ht="15.75" customHeight="1">
      <c r="A17" s="94">
        <v>2</v>
      </c>
      <c r="B17" s="94">
        <v>6.2E-2</v>
      </c>
      <c r="C17" s="94">
        <f t="shared" si="8"/>
        <v>0.124</v>
      </c>
      <c r="D17" s="100">
        <f t="shared" si="9"/>
        <v>1.24</v>
      </c>
      <c r="E17" s="101">
        <v>0</v>
      </c>
      <c r="F17" s="94">
        <f t="shared" si="10"/>
        <v>20</v>
      </c>
      <c r="G17" s="95">
        <f t="shared" si="11"/>
        <v>1.24</v>
      </c>
      <c r="H17" s="94" t="s">
        <v>182</v>
      </c>
      <c r="I17" s="99" t="s">
        <v>179</v>
      </c>
      <c r="J17" s="97"/>
      <c r="K17" s="94" t="s">
        <v>192</v>
      </c>
      <c r="L17" s="94" t="s">
        <v>185</v>
      </c>
      <c r="M17" s="98"/>
      <c r="N17" s="94"/>
      <c r="O17" s="94"/>
      <c r="P17" s="31"/>
      <c r="Q17" s="14"/>
    </row>
    <row r="18" spans="1:21" ht="15.75" customHeight="1">
      <c r="A18" s="94">
        <v>1</v>
      </c>
      <c r="B18" s="94">
        <v>0.68899999999999995</v>
      </c>
      <c r="C18" s="94">
        <f t="shared" si="8"/>
        <v>0.68899999999999995</v>
      </c>
      <c r="D18" s="100">
        <f t="shared" si="9"/>
        <v>6.89</v>
      </c>
      <c r="E18" s="101">
        <v>0</v>
      </c>
      <c r="F18" s="94">
        <f t="shared" si="10"/>
        <v>10</v>
      </c>
      <c r="G18" s="95">
        <f t="shared" si="11"/>
        <v>6.89</v>
      </c>
      <c r="H18" s="94" t="s">
        <v>181</v>
      </c>
      <c r="I18">
        <v>532610671</v>
      </c>
      <c r="J18" s="97"/>
      <c r="K18" s="99" t="s">
        <v>184</v>
      </c>
      <c r="L18" s="94" t="s">
        <v>186</v>
      </c>
      <c r="M18" s="98" t="s">
        <v>58</v>
      </c>
      <c r="N18" s="94" t="s">
        <v>59</v>
      </c>
      <c r="O18" s="94" t="s">
        <v>60</v>
      </c>
      <c r="P18" s="31"/>
      <c r="Q18" s="14"/>
    </row>
    <row r="19" spans="1:21" ht="15.75" customHeight="1">
      <c r="A19" s="102">
        <v>1</v>
      </c>
      <c r="B19" s="102">
        <v>0.42599999999999999</v>
      </c>
      <c r="C19" s="102">
        <f t="shared" si="4"/>
        <v>0.42599999999999999</v>
      </c>
      <c r="D19" s="103">
        <f t="shared" si="5"/>
        <v>4.26</v>
      </c>
      <c r="E19" s="104">
        <v>0</v>
      </c>
      <c r="F19" s="102">
        <v>0</v>
      </c>
      <c r="G19" s="105">
        <f t="shared" si="7"/>
        <v>0</v>
      </c>
      <c r="H19" s="102" t="s">
        <v>181</v>
      </c>
      <c r="I19" s="106" t="s">
        <v>176</v>
      </c>
      <c r="J19" s="107"/>
      <c r="K19" s="102" t="s">
        <v>177</v>
      </c>
      <c r="L19" s="102" t="s">
        <v>185</v>
      </c>
      <c r="M19" s="108" t="s">
        <v>58</v>
      </c>
      <c r="N19" s="102" t="s">
        <v>59</v>
      </c>
      <c r="O19" s="109" t="s">
        <v>60</v>
      </c>
      <c r="P19" s="31"/>
      <c r="Q19" s="14"/>
    </row>
    <row r="20" spans="1:21" ht="15.75" customHeight="1">
      <c r="A20" s="94">
        <v>2</v>
      </c>
      <c r="B20" s="94">
        <v>0.24199999999999999</v>
      </c>
      <c r="C20" s="94">
        <f t="shared" ref="C20" si="12">A20*B20</f>
        <v>0.48399999999999999</v>
      </c>
      <c r="D20" s="100">
        <f t="shared" ref="D20" si="13">C20*10</f>
        <v>4.84</v>
      </c>
      <c r="E20" s="101">
        <v>0</v>
      </c>
      <c r="F20" s="94">
        <f t="shared" ref="F20" si="14">A20*10-E20</f>
        <v>20</v>
      </c>
      <c r="G20" s="95">
        <f t="shared" ref="G20" si="15">F20*B20</f>
        <v>4.84</v>
      </c>
      <c r="H20" s="94" t="s">
        <v>180</v>
      </c>
      <c r="I20" s="99" t="s">
        <v>174</v>
      </c>
      <c r="J20" s="97"/>
      <c r="K20" s="94" t="s">
        <v>178</v>
      </c>
      <c r="L20" s="94" t="s">
        <v>185</v>
      </c>
      <c r="M20" s="98" t="s">
        <v>63</v>
      </c>
      <c r="N20" s="94" t="s">
        <v>173</v>
      </c>
      <c r="O20" s="94" t="s">
        <v>65</v>
      </c>
      <c r="P20" s="31"/>
      <c r="Q20" s="14"/>
    </row>
    <row r="21" spans="1:21" ht="15.75" customHeight="1">
      <c r="A21" s="83">
        <v>1</v>
      </c>
      <c r="B21" s="84">
        <v>0.41599999999999998</v>
      </c>
      <c r="C21" s="83">
        <f t="shared" si="4"/>
        <v>0.41599999999999998</v>
      </c>
      <c r="D21" s="85">
        <f t="shared" si="5"/>
        <v>4.16</v>
      </c>
      <c r="E21" s="83">
        <v>0</v>
      </c>
      <c r="F21" s="83">
        <f t="shared" si="6"/>
        <v>10</v>
      </c>
      <c r="G21" s="86">
        <f t="shared" si="7"/>
        <v>4.16</v>
      </c>
      <c r="H21" s="83" t="s">
        <v>56</v>
      </c>
      <c r="I21" s="87" t="s">
        <v>171</v>
      </c>
      <c r="J21" s="88"/>
      <c r="K21" s="89" t="s">
        <v>57</v>
      </c>
      <c r="L21" s="83" t="s">
        <v>175</v>
      </c>
      <c r="M21" s="90" t="s">
        <v>58</v>
      </c>
      <c r="N21" s="83" t="s">
        <v>59</v>
      </c>
      <c r="O21" s="84" t="s">
        <v>60</v>
      </c>
      <c r="P21" s="91" t="s">
        <v>132</v>
      </c>
      <c r="Q21" s="84"/>
      <c r="R21" s="92"/>
      <c r="S21" s="93"/>
      <c r="T21" s="93"/>
      <c r="U21" s="93"/>
    </row>
    <row r="22" spans="1:21" ht="15.75" customHeight="1">
      <c r="A22" s="83">
        <v>2</v>
      </c>
      <c r="B22" s="84">
        <v>0.33</v>
      </c>
      <c r="C22" s="83">
        <f t="shared" si="4"/>
        <v>0.66</v>
      </c>
      <c r="D22" s="85">
        <f t="shared" si="5"/>
        <v>6.6000000000000005</v>
      </c>
      <c r="E22" s="83">
        <v>0</v>
      </c>
      <c r="F22" s="83">
        <f t="shared" si="6"/>
        <v>20</v>
      </c>
      <c r="G22" s="86">
        <f t="shared" si="7"/>
        <v>6.6000000000000005</v>
      </c>
      <c r="H22" s="83" t="s">
        <v>61</v>
      </c>
      <c r="I22" s="87" t="s">
        <v>172</v>
      </c>
      <c r="J22" s="88"/>
      <c r="K22" s="89" t="s">
        <v>62</v>
      </c>
      <c r="L22" s="83" t="s">
        <v>175</v>
      </c>
      <c r="M22" s="90" t="s">
        <v>63</v>
      </c>
      <c r="N22" s="83" t="s">
        <v>64</v>
      </c>
      <c r="O22" s="84" t="s">
        <v>65</v>
      </c>
      <c r="P22" s="84" t="s">
        <v>134</v>
      </c>
      <c r="Q22" s="84"/>
      <c r="R22" s="92"/>
      <c r="S22" s="93"/>
      <c r="T22" s="93"/>
      <c r="U22" s="93"/>
    </row>
    <row r="23" spans="1:21" ht="15.75" customHeight="1">
      <c r="A23" s="67">
        <v>5</v>
      </c>
      <c r="B23" s="68">
        <v>0.49</v>
      </c>
      <c r="C23" s="65">
        <f t="shared" si="4"/>
        <v>2.4500000000000002</v>
      </c>
      <c r="D23" s="69">
        <f t="shared" si="5"/>
        <v>24.5</v>
      </c>
      <c r="E23" s="70">
        <v>5</v>
      </c>
      <c r="F23" s="65">
        <v>0</v>
      </c>
      <c r="G23" s="71">
        <f t="shared" si="7"/>
        <v>0</v>
      </c>
      <c r="H23" s="58" t="s">
        <v>66</v>
      </c>
      <c r="I23" s="72"/>
      <c r="J23" s="73"/>
      <c r="K23" s="74" t="s">
        <v>67</v>
      </c>
      <c r="L23" s="59"/>
      <c r="M23" s="66" t="s">
        <v>68</v>
      </c>
      <c r="N23" s="75" t="s">
        <v>69</v>
      </c>
      <c r="O23" s="59" t="s">
        <v>70</v>
      </c>
      <c r="P23" s="76"/>
      <c r="Q23" s="14"/>
    </row>
    <row r="24" spans="1:21" ht="15.75" customHeight="1">
      <c r="A24" s="67">
        <v>1</v>
      </c>
      <c r="B24" s="68">
        <v>1</v>
      </c>
      <c r="C24" s="65">
        <f t="shared" si="4"/>
        <v>1</v>
      </c>
      <c r="D24" s="69">
        <f t="shared" si="5"/>
        <v>10</v>
      </c>
      <c r="E24" s="70">
        <v>4</v>
      </c>
      <c r="F24" s="65">
        <v>0</v>
      </c>
      <c r="G24" s="71">
        <f t="shared" si="7"/>
        <v>0</v>
      </c>
      <c r="H24" s="58" t="s">
        <v>71</v>
      </c>
      <c r="I24" s="72" t="s">
        <v>110</v>
      </c>
      <c r="J24" s="73"/>
      <c r="K24" s="74" t="s">
        <v>72</v>
      </c>
      <c r="L24" s="59"/>
      <c r="M24" s="66" t="s">
        <v>73</v>
      </c>
      <c r="N24" s="77" t="s">
        <v>74</v>
      </c>
      <c r="O24" s="59" t="s">
        <v>75</v>
      </c>
      <c r="P24" s="76"/>
      <c r="Q24" s="14"/>
    </row>
    <row r="25" spans="1:21" ht="15.75" customHeight="1">
      <c r="A25" s="67">
        <v>1</v>
      </c>
      <c r="B25" s="68">
        <v>0.49</v>
      </c>
      <c r="C25" s="65">
        <f t="shared" si="4"/>
        <v>0.49</v>
      </c>
      <c r="D25" s="69">
        <f t="shared" si="5"/>
        <v>4.9000000000000004</v>
      </c>
      <c r="E25" s="65">
        <v>0</v>
      </c>
      <c r="F25" s="65">
        <v>0</v>
      </c>
      <c r="G25" s="71">
        <f t="shared" si="7"/>
        <v>0</v>
      </c>
      <c r="H25" s="58" t="s">
        <v>76</v>
      </c>
      <c r="I25" s="72" t="s">
        <v>77</v>
      </c>
      <c r="J25" s="73"/>
      <c r="K25" s="74" t="s">
        <v>78</v>
      </c>
      <c r="L25" s="59"/>
      <c r="M25" s="66" t="s">
        <v>79</v>
      </c>
      <c r="N25" s="77" t="s">
        <v>80</v>
      </c>
      <c r="O25" s="78" t="s">
        <v>81</v>
      </c>
      <c r="P25" s="76"/>
      <c r="Q25" s="14"/>
    </row>
    <row r="26" spans="1:21" ht="15.75" customHeight="1">
      <c r="A26" s="67"/>
      <c r="B26" s="68"/>
      <c r="C26" s="65"/>
      <c r="D26" s="69"/>
      <c r="E26" s="70">
        <v>25</v>
      </c>
      <c r="F26" s="65"/>
      <c r="G26" s="71"/>
      <c r="H26" s="58" t="s">
        <v>161</v>
      </c>
      <c r="I26" s="72"/>
      <c r="J26" s="73"/>
      <c r="K26" s="74"/>
      <c r="L26" s="59"/>
      <c r="M26" s="66"/>
      <c r="N26" s="77"/>
      <c r="O26" s="78"/>
      <c r="P26" s="76"/>
      <c r="Q26" s="14"/>
    </row>
    <row r="27" spans="1:21" ht="15.75" customHeight="1">
      <c r="A27" s="67">
        <v>1</v>
      </c>
      <c r="B27" s="68">
        <v>0.49</v>
      </c>
      <c r="C27" s="65">
        <f t="shared" si="4"/>
        <v>0.49</v>
      </c>
      <c r="D27" s="69">
        <f t="shared" si="5"/>
        <v>4.9000000000000004</v>
      </c>
      <c r="E27" s="70">
        <v>20</v>
      </c>
      <c r="F27" s="65">
        <v>0</v>
      </c>
      <c r="G27" s="71">
        <f t="shared" si="7"/>
        <v>0</v>
      </c>
      <c r="H27" s="58" t="s">
        <v>82</v>
      </c>
      <c r="I27" s="72"/>
      <c r="J27" s="73"/>
      <c r="K27" s="74" t="s">
        <v>83</v>
      </c>
      <c r="L27" s="59"/>
      <c r="M27" s="66" t="s">
        <v>84</v>
      </c>
      <c r="N27" s="77" t="s">
        <v>85</v>
      </c>
      <c r="O27" s="59" t="s">
        <v>86</v>
      </c>
      <c r="P27" s="76"/>
      <c r="Q27" s="14"/>
    </row>
    <row r="28" spans="1:21" ht="15.75" customHeight="1">
      <c r="A28" s="45">
        <v>2</v>
      </c>
      <c r="B28" s="52">
        <v>5.95</v>
      </c>
      <c r="C28" s="45">
        <f t="shared" si="4"/>
        <v>11.9</v>
      </c>
      <c r="D28" s="48">
        <f>C28</f>
        <v>11.9</v>
      </c>
      <c r="E28" s="45"/>
      <c r="F28" s="45">
        <v>2</v>
      </c>
      <c r="G28" s="50">
        <f t="shared" si="7"/>
        <v>11.9</v>
      </c>
      <c r="H28" s="45" t="s">
        <v>138</v>
      </c>
      <c r="I28" s="47" t="s">
        <v>139</v>
      </c>
      <c r="J28" s="55"/>
      <c r="K28" s="52">
        <v>3366</v>
      </c>
      <c r="L28" s="45"/>
      <c r="M28" s="56" t="s">
        <v>142</v>
      </c>
      <c r="N28" s="52"/>
      <c r="O28" s="45"/>
      <c r="P28" s="57" t="s">
        <v>140</v>
      </c>
      <c r="Q28" s="14"/>
    </row>
    <row r="29" spans="1:21" ht="15.75" customHeight="1">
      <c r="A29" s="45">
        <v>1</v>
      </c>
      <c r="B29" s="52">
        <v>1.76</v>
      </c>
      <c r="C29" s="45">
        <f t="shared" si="4"/>
        <v>1.76</v>
      </c>
      <c r="D29" s="48">
        <f>C29*10</f>
        <v>17.600000000000001</v>
      </c>
      <c r="E29" s="45">
        <v>0</v>
      </c>
      <c r="F29" s="45">
        <v>10</v>
      </c>
      <c r="G29" s="50">
        <f t="shared" si="7"/>
        <v>17.600000000000001</v>
      </c>
      <c r="H29" s="45" t="s">
        <v>135</v>
      </c>
      <c r="I29" s="47" t="s">
        <v>137</v>
      </c>
      <c r="J29" s="55"/>
      <c r="K29" s="52">
        <v>85</v>
      </c>
      <c r="L29" s="45"/>
      <c r="M29" s="56" t="s">
        <v>141</v>
      </c>
      <c r="N29" s="52"/>
      <c r="O29" s="45"/>
      <c r="P29" s="57" t="s">
        <v>136</v>
      </c>
      <c r="Q29" s="14"/>
    </row>
    <row r="30" spans="1:21" ht="15.75" customHeight="1">
      <c r="A30" s="3">
        <v>1</v>
      </c>
      <c r="B30" s="3">
        <v>0.745</v>
      </c>
      <c r="C30" s="2">
        <f t="shared" si="4"/>
        <v>0.745</v>
      </c>
      <c r="D30" s="28">
        <f t="shared" si="5"/>
        <v>7.45</v>
      </c>
      <c r="E30" s="2">
        <v>0</v>
      </c>
      <c r="F30" s="2">
        <f t="shared" si="6"/>
        <v>10</v>
      </c>
      <c r="G30" s="29">
        <f t="shared" si="7"/>
        <v>7.45</v>
      </c>
      <c r="H30" s="3" t="s">
        <v>87</v>
      </c>
      <c r="I30" s="4"/>
      <c r="J30" s="20"/>
      <c r="K30" s="31" t="s">
        <v>88</v>
      </c>
      <c r="L30" s="2"/>
      <c r="M30" s="18" t="s">
        <v>89</v>
      </c>
      <c r="N30" s="2" t="s">
        <v>90</v>
      </c>
      <c r="O30" s="2" t="s">
        <v>91</v>
      </c>
      <c r="P30" s="31" t="s">
        <v>143</v>
      </c>
      <c r="Q30" s="14"/>
    </row>
    <row r="31" spans="1:21" ht="15.75" customHeight="1">
      <c r="A31" s="3">
        <v>4</v>
      </c>
      <c r="B31" s="3">
        <v>0.12</v>
      </c>
      <c r="C31" s="2">
        <f t="shared" si="4"/>
        <v>0.48</v>
      </c>
      <c r="D31" s="28">
        <f t="shared" si="5"/>
        <v>4.8</v>
      </c>
      <c r="E31" s="2">
        <v>40</v>
      </c>
      <c r="F31" s="2">
        <f t="shared" si="6"/>
        <v>0</v>
      </c>
      <c r="G31" s="29">
        <f t="shared" si="7"/>
        <v>0</v>
      </c>
      <c r="H31" s="31" t="s">
        <v>144</v>
      </c>
      <c r="I31" s="4"/>
      <c r="J31" s="20"/>
      <c r="K31" s="31" t="s">
        <v>92</v>
      </c>
      <c r="L31" s="2"/>
      <c r="M31" s="18" t="s">
        <v>93</v>
      </c>
      <c r="N31" s="2" t="s">
        <v>94</v>
      </c>
      <c r="O31" s="2" t="s">
        <v>95</v>
      </c>
      <c r="P31" s="11"/>
      <c r="Q31" s="14"/>
    </row>
    <row r="32" spans="1:21" ht="15" customHeight="1">
      <c r="B32" s="35">
        <v>2.3699999999999999E-2</v>
      </c>
      <c r="F32" s="33">
        <v>100</v>
      </c>
      <c r="G32" s="29">
        <f>B32*F32</f>
        <v>2.37</v>
      </c>
      <c r="H32" s="34" t="s">
        <v>145</v>
      </c>
      <c r="K32" s="34" t="s">
        <v>146</v>
      </c>
      <c r="P32" t="s">
        <v>147</v>
      </c>
    </row>
    <row r="33" spans="1:17" s="41" customFormat="1" ht="15.75" customHeight="1">
      <c r="A33" s="3">
        <v>2</v>
      </c>
      <c r="B33" s="3">
        <v>1.22</v>
      </c>
      <c r="C33" s="2">
        <f t="shared" ref="C33" si="16">A33*B33</f>
        <v>2.44</v>
      </c>
      <c r="D33" s="28">
        <f t="shared" ref="D33" si="17">C33*10</f>
        <v>24.4</v>
      </c>
      <c r="E33" s="2">
        <v>2</v>
      </c>
      <c r="F33" s="2">
        <f t="shared" ref="F33" si="18">A33*10-E33</f>
        <v>18</v>
      </c>
      <c r="G33" s="29">
        <f t="shared" ref="G33" si="19">F33*B33</f>
        <v>21.96</v>
      </c>
      <c r="H33" s="3" t="s">
        <v>96</v>
      </c>
      <c r="I33" s="42" t="s">
        <v>157</v>
      </c>
      <c r="J33" s="40"/>
      <c r="K33" s="43" t="s">
        <v>158</v>
      </c>
      <c r="L33" s="39"/>
      <c r="M33" s="18" t="s">
        <v>98</v>
      </c>
      <c r="N33" s="2" t="s">
        <v>99</v>
      </c>
      <c r="O33" s="33" t="s">
        <v>159</v>
      </c>
      <c r="P33" s="43" t="s">
        <v>160</v>
      </c>
    </row>
    <row r="34" spans="1:17" ht="15.75" customHeight="1">
      <c r="A34" s="58">
        <v>2</v>
      </c>
      <c r="B34" s="58">
        <v>1.3819999999999999</v>
      </c>
      <c r="C34" s="59">
        <f t="shared" ref="C34:C39" si="20">A34*B34</f>
        <v>2.7639999999999998</v>
      </c>
      <c r="D34" s="60">
        <f t="shared" ref="D34:D35" si="21">C34*10</f>
        <v>27.639999999999997</v>
      </c>
      <c r="E34" s="59">
        <v>0</v>
      </c>
      <c r="F34" s="59">
        <f t="shared" ref="F34" si="22">A34*10-E34</f>
        <v>20</v>
      </c>
      <c r="G34" s="61">
        <v>0</v>
      </c>
      <c r="H34" s="58" t="s">
        <v>96</v>
      </c>
      <c r="I34" s="62" t="s">
        <v>156</v>
      </c>
      <c r="J34" s="63"/>
      <c r="K34" s="64" t="s">
        <v>97</v>
      </c>
      <c r="L34" s="65"/>
      <c r="M34" s="66" t="s">
        <v>98</v>
      </c>
      <c r="N34" s="59" t="s">
        <v>99</v>
      </c>
      <c r="O34" s="59" t="s">
        <v>100</v>
      </c>
      <c r="P34" s="58" t="s">
        <v>148</v>
      </c>
      <c r="Q34" s="14"/>
    </row>
    <row r="35" spans="1:17" ht="15.75" customHeight="1">
      <c r="A35" s="3">
        <v>3</v>
      </c>
      <c r="B35" s="3">
        <v>0.95840000000000003</v>
      </c>
      <c r="C35" s="2">
        <f t="shared" si="20"/>
        <v>2.8752</v>
      </c>
      <c r="D35" s="28">
        <f t="shared" si="21"/>
        <v>28.751999999999999</v>
      </c>
      <c r="E35" s="2">
        <v>0</v>
      </c>
      <c r="F35" s="2">
        <f>A35*10-E36</f>
        <v>25</v>
      </c>
      <c r="G35" s="29">
        <f t="shared" ref="G35" si="23">F35*B35</f>
        <v>23.96</v>
      </c>
      <c r="H35" s="3" t="s">
        <v>101</v>
      </c>
      <c r="I35" s="3"/>
      <c r="J35" s="15"/>
      <c r="K35" s="31" t="s">
        <v>102</v>
      </c>
      <c r="L35" s="31" t="s">
        <v>152</v>
      </c>
      <c r="M35" s="18" t="s">
        <v>103</v>
      </c>
      <c r="N35" s="3" t="s">
        <v>104</v>
      </c>
      <c r="O35" s="3" t="s">
        <v>105</v>
      </c>
      <c r="P35" s="3" t="s">
        <v>149</v>
      </c>
      <c r="Q35" s="19"/>
    </row>
    <row r="36" spans="1:17" ht="15.75" customHeight="1">
      <c r="A36" s="3"/>
      <c r="B36" s="3">
        <v>2.33</v>
      </c>
      <c r="C36" s="2"/>
      <c r="D36" s="28"/>
      <c r="E36" s="38">
        <v>5</v>
      </c>
      <c r="F36" s="2"/>
      <c r="G36" s="29"/>
      <c r="H36" s="31" t="s">
        <v>101</v>
      </c>
      <c r="I36" s="3"/>
      <c r="J36" s="15"/>
      <c r="K36" s="31" t="s">
        <v>154</v>
      </c>
      <c r="L36" s="31" t="s">
        <v>152</v>
      </c>
      <c r="M36" s="18" t="s">
        <v>103</v>
      </c>
      <c r="N36" s="31" t="s">
        <v>153</v>
      </c>
      <c r="O36" s="3" t="s">
        <v>105</v>
      </c>
      <c r="P36" s="3"/>
      <c r="Q36" s="19"/>
    </row>
    <row r="37" spans="1:17" ht="15.75" customHeight="1">
      <c r="A37" s="45">
        <v>1</v>
      </c>
      <c r="B37" s="45">
        <v>7.5</v>
      </c>
      <c r="C37" s="45">
        <f t="shared" si="20"/>
        <v>7.5</v>
      </c>
      <c r="D37" s="48">
        <f>C37*8</f>
        <v>60</v>
      </c>
      <c r="E37" s="49">
        <v>4</v>
      </c>
      <c r="F37" s="45">
        <f>A37*8-E37</f>
        <v>4</v>
      </c>
      <c r="G37" s="50">
        <f t="shared" ref="G37:G38" si="24">F37*B37</f>
        <v>30</v>
      </c>
      <c r="H37" s="45" t="s">
        <v>150</v>
      </c>
      <c r="I37" s="45"/>
      <c r="J37" s="51"/>
      <c r="K37" s="45">
        <v>3296</v>
      </c>
      <c r="L37" s="3"/>
      <c r="M37" s="18"/>
      <c r="N37" s="3"/>
      <c r="O37" s="3"/>
      <c r="P37" s="3"/>
      <c r="Q37" s="19"/>
    </row>
    <row r="38" spans="1:17" ht="15.75" customHeight="1">
      <c r="A38" s="45">
        <v>1</v>
      </c>
      <c r="B38" s="45">
        <v>7.5</v>
      </c>
      <c r="C38" s="45">
        <f t="shared" si="20"/>
        <v>7.5</v>
      </c>
      <c r="D38" s="48">
        <f>C38*8</f>
        <v>60</v>
      </c>
      <c r="E38" s="49">
        <v>4</v>
      </c>
      <c r="F38" s="45">
        <f>A38*8-E38</f>
        <v>4</v>
      </c>
      <c r="G38" s="50">
        <f t="shared" si="24"/>
        <v>30</v>
      </c>
      <c r="H38" s="45" t="s">
        <v>151</v>
      </c>
      <c r="I38" s="45"/>
      <c r="J38" s="51"/>
      <c r="K38" s="45">
        <v>254</v>
      </c>
      <c r="L38" s="3"/>
      <c r="M38" s="18"/>
      <c r="N38" s="3"/>
      <c r="O38" s="3"/>
      <c r="P38" s="3"/>
      <c r="Q38" s="19"/>
    </row>
    <row r="39" spans="1:17" ht="15.75" customHeight="1">
      <c r="A39" s="45">
        <v>1</v>
      </c>
      <c r="B39" s="52">
        <v>0.95</v>
      </c>
      <c r="C39" s="52">
        <f t="shared" si="20"/>
        <v>0.95</v>
      </c>
      <c r="D39" s="52"/>
      <c r="E39" s="53">
        <v>6</v>
      </c>
      <c r="F39" s="52">
        <v>6</v>
      </c>
      <c r="G39" s="54">
        <f>F39*B39</f>
        <v>5.6999999999999993</v>
      </c>
      <c r="H39" s="45" t="s">
        <v>155</v>
      </c>
      <c r="I39" s="45" t="s">
        <v>162</v>
      </c>
      <c r="J39" s="51"/>
      <c r="K39" s="52">
        <v>380</v>
      </c>
      <c r="L39" s="3"/>
      <c r="M39" s="18"/>
      <c r="N39" s="21"/>
      <c r="O39" s="33"/>
      <c r="P39" s="22"/>
      <c r="Q39" s="19"/>
    </row>
    <row r="40" spans="1:17" ht="15.75" customHeight="1">
      <c r="A40" s="3"/>
      <c r="B40" s="21"/>
      <c r="C40" s="21">
        <f>SUM(C4:C39)</f>
        <v>54.543200000000013</v>
      </c>
      <c r="D40" s="21">
        <f>SUM(D4:D39)</f>
        <v>398.83199999999999</v>
      </c>
      <c r="E40" s="21"/>
      <c r="F40" s="21"/>
      <c r="G40" s="30">
        <f>SUM(G4:G39)</f>
        <v>240.708</v>
      </c>
      <c r="H40" s="3"/>
      <c r="I40" s="3"/>
      <c r="J40" s="15"/>
      <c r="K40" s="21"/>
      <c r="L40" s="3"/>
      <c r="M40" s="18"/>
      <c r="N40" s="21"/>
      <c r="O40" s="21"/>
      <c r="P40" s="22"/>
      <c r="Q40" s="19"/>
    </row>
    <row r="41" spans="1:17" ht="15.75" customHeight="1">
      <c r="A41" s="3"/>
      <c r="B41" s="3"/>
      <c r="C41" s="3"/>
      <c r="D41" s="3"/>
      <c r="E41" s="3"/>
      <c r="F41" s="3"/>
      <c r="G41" s="3"/>
      <c r="H41" s="3"/>
      <c r="I41" s="3"/>
      <c r="J41" s="15"/>
      <c r="K41" s="3"/>
      <c r="L41" s="3"/>
      <c r="M41" s="18"/>
      <c r="N41" s="3"/>
      <c r="O41" s="3"/>
      <c r="P41" s="3"/>
      <c r="Q41" s="19"/>
    </row>
    <row r="42" spans="1:17" ht="15" customHeight="1">
      <c r="C42" s="34" t="s">
        <v>169</v>
      </c>
      <c r="D42" s="34" t="s">
        <v>165</v>
      </c>
      <c r="E42" s="34" t="s">
        <v>166</v>
      </c>
      <c r="F42" s="34" t="s">
        <v>168</v>
      </c>
    </row>
    <row r="43" spans="1:17" ht="15.75" customHeight="1">
      <c r="A43" s="2"/>
      <c r="B43" s="82">
        <v>46147</v>
      </c>
      <c r="C43" s="2"/>
      <c r="D43" s="45">
        <v>18.579999999999998</v>
      </c>
      <c r="E43" s="45">
        <v>8.2100000000000009</v>
      </c>
      <c r="F43" s="45"/>
      <c r="G43" s="46">
        <v>86.04</v>
      </c>
      <c r="H43" s="45" t="s">
        <v>163</v>
      </c>
      <c r="I43" s="47" t="s">
        <v>164</v>
      </c>
      <c r="J43" s="20"/>
      <c r="K43" s="44"/>
      <c r="L43" s="2"/>
      <c r="M43" s="16"/>
      <c r="N43" s="2"/>
      <c r="O43" s="2"/>
      <c r="P43" s="2"/>
    </row>
    <row r="44" spans="1:17" ht="15.75" customHeight="1">
      <c r="A44" s="2"/>
      <c r="B44" s="82">
        <v>46147</v>
      </c>
      <c r="C44" s="2">
        <v>134.5</v>
      </c>
      <c r="D44" s="2">
        <v>6.99</v>
      </c>
      <c r="E44" s="2">
        <v>16.149999999999999</v>
      </c>
      <c r="F44" s="2">
        <v>11.55</v>
      </c>
      <c r="G44" s="2">
        <v>169.19</v>
      </c>
      <c r="H44" s="33" t="s">
        <v>167</v>
      </c>
      <c r="I44" s="36" t="s">
        <v>170</v>
      </c>
      <c r="J44" s="20"/>
      <c r="K44" s="3"/>
      <c r="L44" s="2"/>
      <c r="M44" s="16"/>
      <c r="N44" s="2"/>
      <c r="O44" s="2"/>
      <c r="P44" s="2"/>
    </row>
    <row r="45" spans="1:17" ht="15" customHeight="1">
      <c r="B45" s="110">
        <v>46147</v>
      </c>
      <c r="C45" s="96">
        <v>20.99</v>
      </c>
      <c r="D45" s="96">
        <v>4</v>
      </c>
      <c r="E45" s="96">
        <v>2.81</v>
      </c>
      <c r="F45" s="96">
        <v>0.63</v>
      </c>
      <c r="G45" s="96">
        <v>29.42</v>
      </c>
      <c r="H45" s="94" t="s">
        <v>167</v>
      </c>
      <c r="I45" s="96" t="s">
        <v>193</v>
      </c>
    </row>
    <row r="47" spans="1:17" ht="15.75" customHeight="1">
      <c r="A47" s="3"/>
      <c r="B47" s="3"/>
      <c r="C47" s="3"/>
      <c r="D47" s="3"/>
      <c r="E47" s="3"/>
      <c r="F47" s="3"/>
      <c r="G47" s="111">
        <f>SUM(G43:G46)</f>
        <v>284.65000000000003</v>
      </c>
      <c r="H47" s="3"/>
      <c r="I47" s="3"/>
      <c r="J47" s="15"/>
      <c r="K47" s="3"/>
      <c r="L47" s="3"/>
      <c r="M47" s="18"/>
      <c r="N47" s="3"/>
      <c r="O47" s="3"/>
      <c r="P47" s="3"/>
      <c r="Q47" s="19"/>
    </row>
    <row r="48" spans="1:17" ht="15.75" customHeight="1">
      <c r="A48" s="3"/>
      <c r="B48" s="3"/>
      <c r="C48" s="3"/>
      <c r="D48" s="3"/>
      <c r="E48" s="3"/>
      <c r="F48" s="3"/>
      <c r="G48" s="3"/>
      <c r="H48" s="3"/>
      <c r="I48" s="3"/>
      <c r="J48" s="15"/>
      <c r="K48" s="3"/>
      <c r="L48" s="3"/>
      <c r="M48" s="18"/>
      <c r="N48" s="3"/>
      <c r="O48" s="3"/>
      <c r="P48" s="3"/>
      <c r="Q48" s="19"/>
    </row>
    <row r="49" spans="1:17" ht="15.75" customHeight="1">
      <c r="A49" s="3"/>
      <c r="B49" s="3"/>
      <c r="C49" s="3"/>
      <c r="D49" s="3"/>
      <c r="E49" s="3"/>
      <c r="F49" s="3"/>
      <c r="G49" s="3"/>
      <c r="H49" s="3"/>
      <c r="I49" s="3"/>
      <c r="J49" s="15"/>
      <c r="K49" s="3"/>
      <c r="L49" s="3"/>
      <c r="M49" s="18"/>
      <c r="N49" s="3"/>
      <c r="O49" s="3"/>
      <c r="P49" s="3"/>
      <c r="Q49" s="19"/>
    </row>
    <row r="50" spans="1:17" ht="15.75" customHeight="1">
      <c r="A50" s="3"/>
      <c r="B50" s="3"/>
      <c r="C50" s="3"/>
      <c r="D50" s="3"/>
      <c r="E50" s="3"/>
      <c r="F50" s="3"/>
      <c r="G50" s="3"/>
      <c r="H50" s="3"/>
      <c r="I50" s="3"/>
      <c r="J50" s="15"/>
      <c r="K50" s="3"/>
      <c r="L50" s="3"/>
      <c r="M50" s="18"/>
      <c r="N50" s="3"/>
      <c r="O50" s="3"/>
      <c r="P50" s="3"/>
      <c r="Q50" s="19"/>
    </row>
    <row r="53" spans="1:17" ht="15.75" customHeight="1">
      <c r="A53" s="3"/>
      <c r="B53" s="3"/>
      <c r="C53" s="3"/>
      <c r="D53" s="3"/>
      <c r="E53" s="3"/>
      <c r="F53" s="3"/>
      <c r="G53" s="3"/>
      <c r="H53" s="3"/>
      <c r="I53" s="3"/>
      <c r="J53" s="15"/>
      <c r="K53" s="3"/>
      <c r="L53" s="3"/>
      <c r="M53" s="18"/>
      <c r="N53" s="3"/>
      <c r="O53" s="3"/>
      <c r="P53" s="3"/>
      <c r="Q53" s="19"/>
    </row>
    <row r="54" spans="1:17" ht="15.75" customHeight="1">
      <c r="A54" s="3"/>
      <c r="B54" s="3"/>
      <c r="C54" s="3"/>
      <c r="D54" s="3"/>
      <c r="E54" s="3"/>
      <c r="F54" s="3"/>
      <c r="G54" s="3"/>
      <c r="H54" s="3"/>
      <c r="I54" s="3"/>
      <c r="J54" s="15"/>
      <c r="K54" s="3"/>
      <c r="L54" s="3"/>
      <c r="M54" s="18"/>
      <c r="N54" s="3"/>
      <c r="O54" s="3"/>
      <c r="P54" s="3"/>
      <c r="Q54" s="19"/>
    </row>
    <row r="55" spans="1:17" ht="15.75" customHeight="1">
      <c r="A55" s="3"/>
      <c r="B55" s="3"/>
      <c r="C55" s="3"/>
      <c r="D55" s="3"/>
      <c r="E55" s="3"/>
      <c r="F55" s="3"/>
      <c r="G55" s="3"/>
      <c r="H55" s="3"/>
      <c r="I55" s="3"/>
      <c r="J55" s="15"/>
      <c r="K55" s="3"/>
      <c r="L55" s="3"/>
      <c r="M55" s="18"/>
      <c r="N55" s="3"/>
      <c r="O55" s="3"/>
      <c r="P55" s="3"/>
      <c r="Q55" s="19"/>
    </row>
    <row r="56" spans="1:17" ht="15.75" customHeight="1">
      <c r="A56" s="3"/>
      <c r="B56" s="3"/>
      <c r="C56" s="3"/>
      <c r="D56" s="3"/>
      <c r="E56" s="3"/>
      <c r="F56" s="3"/>
      <c r="G56" s="3"/>
      <c r="H56" s="3"/>
      <c r="I56" s="3"/>
      <c r="J56" s="15"/>
      <c r="K56" s="3"/>
      <c r="L56" s="3"/>
      <c r="M56" s="18"/>
      <c r="N56" s="3"/>
      <c r="O56" s="3"/>
      <c r="P56" s="3"/>
      <c r="Q56" s="19"/>
    </row>
    <row r="57" spans="1:17" ht="15.75" customHeight="1">
      <c r="A57" s="3"/>
      <c r="B57" s="3"/>
      <c r="C57" s="3"/>
      <c r="D57" s="3"/>
      <c r="E57" s="3"/>
      <c r="F57" s="3"/>
      <c r="G57" s="3"/>
      <c r="H57" s="3"/>
      <c r="I57" s="3"/>
      <c r="J57" s="15"/>
      <c r="K57" s="3"/>
      <c r="L57" s="3"/>
      <c r="M57" s="18"/>
      <c r="N57" s="3"/>
      <c r="O57" s="3"/>
      <c r="P57" s="3"/>
      <c r="Q57" s="19"/>
    </row>
    <row r="62" spans="1:17" ht="15.75" customHeight="1">
      <c r="A62" s="2"/>
      <c r="B62" s="2"/>
      <c r="C62" s="2"/>
      <c r="D62" s="2"/>
      <c r="E62" s="2"/>
      <c r="F62" s="2"/>
      <c r="G62" s="2"/>
      <c r="H62" s="2"/>
      <c r="I62" s="4"/>
      <c r="J62" s="20"/>
      <c r="K62" s="3"/>
      <c r="L62" s="2"/>
      <c r="M62" s="16"/>
      <c r="N62" s="2"/>
      <c r="O62" s="2"/>
      <c r="P62" s="2"/>
    </row>
    <row r="63" spans="1:17" ht="15.75" customHeight="1">
      <c r="A63" s="2"/>
      <c r="B63" s="2"/>
      <c r="C63" s="2"/>
      <c r="D63" s="2"/>
      <c r="E63" s="2"/>
      <c r="F63" s="2"/>
      <c r="G63" s="2"/>
      <c r="H63" s="2"/>
      <c r="I63" s="4"/>
      <c r="J63" s="20"/>
      <c r="K63" s="3"/>
      <c r="L63" s="2"/>
      <c r="M63" s="16"/>
      <c r="N63" s="2"/>
      <c r="O63" s="2"/>
      <c r="P63" s="2"/>
    </row>
    <row r="64" spans="1:17" ht="15.75" customHeight="1">
      <c r="A64" s="2"/>
      <c r="B64" s="2"/>
      <c r="C64" s="2"/>
      <c r="D64" s="2"/>
      <c r="E64" s="2"/>
      <c r="F64" s="2"/>
      <c r="G64" s="2"/>
      <c r="H64" s="2"/>
      <c r="I64" s="4"/>
      <c r="J64" s="20"/>
      <c r="K64" s="3"/>
      <c r="L64" s="2"/>
      <c r="M64" s="16"/>
      <c r="N64" s="2"/>
      <c r="O64" s="2"/>
      <c r="P64" s="17"/>
    </row>
    <row r="65" spans="1:16" ht="15.75" customHeight="1">
      <c r="A65" s="2"/>
      <c r="B65" s="2"/>
      <c r="C65" s="2"/>
      <c r="D65" s="2"/>
      <c r="E65" s="2"/>
      <c r="F65" s="2"/>
      <c r="G65" s="2"/>
      <c r="H65" s="2"/>
      <c r="I65" s="4"/>
      <c r="J65" s="20"/>
      <c r="K65" s="3"/>
      <c r="L65" s="2"/>
      <c r="M65" s="16"/>
      <c r="N65" s="2"/>
      <c r="O65" s="2"/>
      <c r="P65" s="17"/>
    </row>
    <row r="66" spans="1:16" ht="15.75" customHeight="1">
      <c r="A66" s="2"/>
      <c r="B66" s="2"/>
      <c r="C66" s="2"/>
      <c r="D66" s="2"/>
      <c r="E66" s="2"/>
      <c r="F66" s="2"/>
      <c r="G66" s="2"/>
      <c r="H66" s="2"/>
      <c r="I66" s="4"/>
      <c r="J66" s="20"/>
      <c r="K66" s="3"/>
      <c r="L66" s="2"/>
      <c r="M66" s="16"/>
      <c r="N66" s="2"/>
      <c r="O66" s="2"/>
      <c r="P66" s="17"/>
    </row>
    <row r="67" spans="1:16" ht="15.75" customHeight="1">
      <c r="A67" s="2"/>
      <c r="B67" s="2"/>
      <c r="C67" s="2"/>
      <c r="D67" s="2"/>
      <c r="E67" s="2"/>
      <c r="F67" s="2"/>
      <c r="G67" s="2"/>
      <c r="H67" s="2"/>
      <c r="I67" s="4"/>
      <c r="J67" s="20"/>
      <c r="K67" s="3"/>
      <c r="L67" s="2"/>
      <c r="M67" s="16"/>
      <c r="N67" s="2"/>
      <c r="O67" s="2"/>
      <c r="P67" s="17"/>
    </row>
    <row r="68" spans="1:16" ht="15.75" customHeight="1">
      <c r="A68" s="2"/>
      <c r="B68" s="2"/>
      <c r="C68" s="2"/>
      <c r="D68" s="2"/>
      <c r="E68" s="2"/>
      <c r="F68" s="2"/>
      <c r="G68" s="2"/>
      <c r="H68" s="2"/>
      <c r="I68" s="4"/>
      <c r="J68" s="20"/>
      <c r="K68" s="3"/>
      <c r="L68" s="2"/>
      <c r="M68" s="2"/>
      <c r="N68" s="2"/>
      <c r="O68" s="2"/>
      <c r="P68" s="17"/>
    </row>
    <row r="69" spans="1:16" ht="15.75" customHeight="1">
      <c r="A69" s="2"/>
      <c r="B69" s="2"/>
      <c r="C69" s="2"/>
      <c r="D69" s="2"/>
      <c r="E69" s="2"/>
      <c r="F69" s="2"/>
      <c r="G69" s="2"/>
      <c r="H69" s="2"/>
      <c r="I69" s="4"/>
      <c r="J69" s="20"/>
      <c r="K69" s="3"/>
      <c r="L69" s="2"/>
      <c r="M69" s="16"/>
      <c r="N69" s="2"/>
      <c r="O69" s="2"/>
      <c r="P69" s="17"/>
    </row>
    <row r="70" spans="1:16" ht="15.75" customHeight="1">
      <c r="A70" s="2"/>
      <c r="B70" s="2"/>
      <c r="C70" s="2"/>
      <c r="D70" s="2"/>
      <c r="E70" s="2"/>
      <c r="F70" s="2"/>
      <c r="G70" s="2"/>
      <c r="H70" s="4"/>
      <c r="I70" s="4"/>
      <c r="J70" s="20"/>
      <c r="K70" s="3"/>
      <c r="L70" s="2"/>
      <c r="M70" s="23"/>
      <c r="N70" s="2"/>
      <c r="O70" s="2"/>
      <c r="P70" s="17"/>
    </row>
    <row r="71" spans="1:16" ht="15.75" customHeight="1">
      <c r="I71" s="24"/>
      <c r="J71" s="25"/>
      <c r="K71" s="26"/>
      <c r="M71" s="27"/>
    </row>
    <row r="72" spans="1:16" ht="15.75" customHeight="1">
      <c r="I72" s="24"/>
      <c r="J72" s="25"/>
      <c r="K72" s="26"/>
      <c r="M72" s="27"/>
    </row>
    <row r="73" spans="1:16" ht="15.75" customHeight="1">
      <c r="I73" s="24"/>
      <c r="J73" s="25"/>
      <c r="K73" s="26"/>
      <c r="M73" s="27"/>
    </row>
    <row r="74" spans="1:16" ht="15.75" customHeight="1">
      <c r="I74" s="24"/>
      <c r="J74" s="25"/>
      <c r="K74" s="26"/>
      <c r="M74" s="27"/>
    </row>
    <row r="75" spans="1:16" ht="15.75" customHeight="1">
      <c r="I75" s="24"/>
      <c r="J75" s="25"/>
      <c r="K75" s="26"/>
      <c r="M75" s="27"/>
    </row>
    <row r="76" spans="1:16" ht="15.75" customHeight="1">
      <c r="I76" s="24"/>
      <c r="J76" s="25"/>
      <c r="M76" s="27"/>
    </row>
    <row r="77" spans="1:16" ht="15.75" customHeight="1">
      <c r="I77" s="24"/>
      <c r="J77" s="25"/>
      <c r="M77" s="27"/>
    </row>
    <row r="78" spans="1:16" ht="15.75" customHeight="1">
      <c r="I78" s="24"/>
      <c r="J78" s="25"/>
      <c r="M78" s="27"/>
    </row>
    <row r="79" spans="1:16" ht="15.75" customHeight="1">
      <c r="I79" s="24"/>
      <c r="J79" s="25"/>
      <c r="M79" s="27"/>
    </row>
    <row r="80" spans="1:16" ht="15.75" customHeight="1">
      <c r="I80" s="24"/>
      <c r="J80" s="25"/>
      <c r="M80" s="27"/>
    </row>
    <row r="81" spans="9:13" ht="15.75" customHeight="1">
      <c r="I81" s="24"/>
      <c r="J81" s="25"/>
      <c r="M81" s="27"/>
    </row>
    <row r="82" spans="9:13" ht="15.75" customHeight="1">
      <c r="I82" s="24"/>
      <c r="J82" s="25"/>
      <c r="M82" s="27"/>
    </row>
    <row r="83" spans="9:13" ht="15.75" customHeight="1">
      <c r="I83" s="24"/>
      <c r="J83" s="25"/>
      <c r="M83" s="27"/>
    </row>
    <row r="84" spans="9:13" ht="15.75" customHeight="1">
      <c r="I84" s="24"/>
      <c r="J84" s="25"/>
      <c r="M84" s="27"/>
    </row>
    <row r="85" spans="9:13" ht="15.75" customHeight="1">
      <c r="I85" s="24"/>
      <c r="J85" s="25"/>
      <c r="M85" s="27"/>
    </row>
    <row r="86" spans="9:13" ht="15.75" customHeight="1">
      <c r="I86" s="24"/>
      <c r="J86" s="25"/>
    </row>
    <row r="87" spans="9:13" ht="15.75" customHeight="1">
      <c r="I87" s="24"/>
      <c r="J87" s="25"/>
    </row>
    <row r="88" spans="9:13" ht="15.75" customHeight="1">
      <c r="I88" s="24"/>
      <c r="J88" s="25"/>
    </row>
    <row r="89" spans="9:13" ht="15.75" customHeight="1">
      <c r="I89" s="24"/>
      <c r="J89" s="25"/>
    </row>
    <row r="90" spans="9:13" ht="15.75" customHeight="1">
      <c r="I90" s="24"/>
      <c r="J90" s="25"/>
    </row>
    <row r="91" spans="9:13" ht="15.75" customHeight="1">
      <c r="I91" s="24"/>
      <c r="J91" s="25"/>
    </row>
    <row r="92" spans="9:13" ht="15.75" customHeight="1">
      <c r="I92" s="24"/>
      <c r="J92" s="25"/>
    </row>
    <row r="93" spans="9:13" ht="15.75" customHeight="1">
      <c r="I93" s="24"/>
      <c r="J93" s="25"/>
    </row>
    <row r="94" spans="9:13" ht="15.75" customHeight="1">
      <c r="I94" s="24"/>
      <c r="J94" s="25"/>
    </row>
    <row r="95" spans="9:13" ht="15.75" customHeight="1">
      <c r="I95" s="24"/>
      <c r="J95" s="25"/>
    </row>
    <row r="96" spans="9:13" ht="15.75" customHeight="1">
      <c r="I96" s="24"/>
      <c r="J96" s="25"/>
    </row>
    <row r="97" spans="9:10" ht="15.75" customHeight="1">
      <c r="I97" s="24"/>
      <c r="J97" s="25"/>
    </row>
    <row r="98" spans="9:10" ht="15.75" customHeight="1">
      <c r="I98" s="24"/>
      <c r="J98" s="25"/>
    </row>
    <row r="99" spans="9:10" ht="15.75" customHeight="1">
      <c r="I99" s="24"/>
      <c r="J99" s="25"/>
    </row>
    <row r="100" spans="9:10" ht="15.75" customHeight="1">
      <c r="I100" s="24"/>
      <c r="J100" s="25"/>
    </row>
    <row r="101" spans="9:10" ht="15.75" customHeight="1">
      <c r="I101" s="24"/>
      <c r="J101" s="25"/>
    </row>
    <row r="102" spans="9:10" ht="15.75" customHeight="1">
      <c r="I102" s="24"/>
      <c r="J102" s="25"/>
    </row>
    <row r="103" spans="9:10" ht="15.75" customHeight="1">
      <c r="I103" s="24"/>
      <c r="J103" s="25"/>
    </row>
    <row r="104" spans="9:10" ht="15.75" customHeight="1">
      <c r="I104" s="24"/>
      <c r="J104" s="25"/>
    </row>
    <row r="105" spans="9:10" ht="15.75" customHeight="1">
      <c r="I105" s="24"/>
      <c r="J105" s="25"/>
    </row>
    <row r="106" spans="9:10" ht="15.75" customHeight="1">
      <c r="I106" s="24"/>
      <c r="J106" s="25"/>
    </row>
    <row r="107" spans="9:10" ht="15.75" customHeight="1">
      <c r="I107" s="24"/>
      <c r="J107" s="25"/>
    </row>
    <row r="108" spans="9:10" ht="15.75" customHeight="1">
      <c r="I108" s="24"/>
      <c r="J108" s="25"/>
    </row>
    <row r="109" spans="9:10" ht="15.75" customHeight="1">
      <c r="I109" s="24"/>
      <c r="J109" s="25"/>
    </row>
    <row r="110" spans="9:10" ht="15.75" customHeight="1">
      <c r="I110" s="24"/>
      <c r="J110" s="25"/>
    </row>
    <row r="111" spans="9:10" ht="15.75" customHeight="1">
      <c r="I111" s="24"/>
      <c r="J111" s="25"/>
    </row>
    <row r="112" spans="9:10" ht="15.75" customHeight="1">
      <c r="I112" s="24"/>
      <c r="J112" s="25"/>
    </row>
    <row r="113" spans="9:10" ht="15.75" customHeight="1">
      <c r="I113" s="24"/>
      <c r="J113" s="25"/>
    </row>
    <row r="114" spans="9:10" ht="15.75" customHeight="1">
      <c r="I114" s="24"/>
      <c r="J114" s="25"/>
    </row>
    <row r="115" spans="9:10" ht="15.75" customHeight="1">
      <c r="I115" s="24"/>
      <c r="J115" s="25"/>
    </row>
    <row r="116" spans="9:10" ht="15.75" customHeight="1">
      <c r="I116" s="24"/>
      <c r="J116" s="25"/>
    </row>
    <row r="117" spans="9:10" ht="15.75" customHeight="1">
      <c r="I117" s="24"/>
      <c r="J117" s="25"/>
    </row>
    <row r="118" spans="9:10" ht="15.75" customHeight="1">
      <c r="I118" s="24"/>
      <c r="J118" s="25"/>
    </row>
    <row r="119" spans="9:10" ht="15.75" customHeight="1">
      <c r="I119" s="24"/>
      <c r="J119" s="25"/>
    </row>
    <row r="120" spans="9:10" ht="15.75" customHeight="1">
      <c r="I120" s="24"/>
      <c r="J120" s="25"/>
    </row>
    <row r="121" spans="9:10" ht="15.75" customHeight="1">
      <c r="I121" s="24"/>
      <c r="J121" s="25"/>
    </row>
    <row r="122" spans="9:10" ht="15.75" customHeight="1">
      <c r="I122" s="24"/>
      <c r="J122" s="25"/>
    </row>
    <row r="123" spans="9:10" ht="15.75" customHeight="1">
      <c r="I123" s="24"/>
      <c r="J123" s="25"/>
    </row>
    <row r="124" spans="9:10" ht="15.75" customHeight="1">
      <c r="I124" s="24"/>
      <c r="J124" s="25"/>
    </row>
    <row r="125" spans="9:10" ht="15.75" customHeight="1">
      <c r="I125" s="24"/>
      <c r="J125" s="25"/>
    </row>
    <row r="126" spans="9:10" ht="15.75" customHeight="1">
      <c r="I126" s="24"/>
      <c r="J126" s="25"/>
    </row>
    <row r="127" spans="9:10" ht="15.75" customHeight="1">
      <c r="I127" s="24"/>
      <c r="J127" s="25"/>
    </row>
    <row r="128" spans="9:10" ht="15.75" customHeight="1">
      <c r="I128" s="24"/>
      <c r="J128" s="25"/>
    </row>
    <row r="129" spans="9:10" ht="15.75" customHeight="1">
      <c r="I129" s="24"/>
      <c r="J129" s="25"/>
    </row>
    <row r="130" spans="9:10" ht="15.75" customHeight="1">
      <c r="I130" s="24"/>
      <c r="J130" s="25"/>
    </row>
    <row r="131" spans="9:10" ht="15.75" customHeight="1">
      <c r="I131" s="24"/>
      <c r="J131" s="25"/>
    </row>
    <row r="132" spans="9:10" ht="15.75" customHeight="1">
      <c r="I132" s="24"/>
      <c r="J132" s="25"/>
    </row>
    <row r="133" spans="9:10" ht="15.75" customHeight="1">
      <c r="I133" s="24"/>
      <c r="J133" s="25"/>
    </row>
    <row r="134" spans="9:10" ht="15.75" customHeight="1">
      <c r="I134" s="24"/>
      <c r="J134" s="25"/>
    </row>
    <row r="135" spans="9:10" ht="15.75" customHeight="1">
      <c r="I135" s="24"/>
      <c r="J135" s="25"/>
    </row>
    <row r="136" spans="9:10" ht="15.75" customHeight="1">
      <c r="I136" s="24"/>
      <c r="J136" s="25"/>
    </row>
    <row r="137" spans="9:10" ht="15.75" customHeight="1">
      <c r="I137" s="24"/>
      <c r="J137" s="25"/>
    </row>
    <row r="138" spans="9:10" ht="15.75" customHeight="1">
      <c r="I138" s="24"/>
      <c r="J138" s="25"/>
    </row>
    <row r="139" spans="9:10" ht="15.75" customHeight="1">
      <c r="I139" s="24"/>
      <c r="J139" s="25"/>
    </row>
    <row r="140" spans="9:10" ht="15.75" customHeight="1">
      <c r="I140" s="24"/>
      <c r="J140" s="25"/>
    </row>
    <row r="141" spans="9:10" ht="15.75" customHeight="1">
      <c r="I141" s="24"/>
      <c r="J141" s="25"/>
    </row>
    <row r="142" spans="9:10" ht="15.75" customHeight="1">
      <c r="I142" s="24"/>
      <c r="J142" s="25"/>
    </row>
    <row r="143" spans="9:10" ht="15.75" customHeight="1">
      <c r="I143" s="24"/>
      <c r="J143" s="25"/>
    </row>
    <row r="144" spans="9:10" ht="15.75" customHeight="1">
      <c r="I144" s="24"/>
      <c r="J144" s="25"/>
    </row>
    <row r="145" spans="9:10" ht="15.75" customHeight="1">
      <c r="I145" s="24"/>
      <c r="J145" s="25"/>
    </row>
    <row r="146" spans="9:10" ht="15.75" customHeight="1">
      <c r="I146" s="24"/>
      <c r="J146" s="25"/>
    </row>
    <row r="147" spans="9:10" ht="15.75" customHeight="1">
      <c r="I147" s="24"/>
      <c r="J147" s="25"/>
    </row>
    <row r="148" spans="9:10" ht="15.75" customHeight="1">
      <c r="I148" s="24"/>
      <c r="J148" s="25"/>
    </row>
    <row r="149" spans="9:10" ht="15.75" customHeight="1">
      <c r="I149" s="24"/>
      <c r="J149" s="25"/>
    </row>
    <row r="150" spans="9:10" ht="15.75" customHeight="1">
      <c r="I150" s="24"/>
      <c r="J150" s="25"/>
    </row>
    <row r="151" spans="9:10" ht="15.75" customHeight="1">
      <c r="I151" s="24"/>
      <c r="J151" s="25"/>
    </row>
    <row r="152" spans="9:10" ht="15.75" customHeight="1">
      <c r="I152" s="24"/>
      <c r="J152" s="25"/>
    </row>
    <row r="153" spans="9:10" ht="15.75" customHeight="1">
      <c r="I153" s="24"/>
      <c r="J153" s="25"/>
    </row>
    <row r="154" spans="9:10" ht="15.75" customHeight="1">
      <c r="I154" s="24"/>
      <c r="J154" s="25"/>
    </row>
    <row r="155" spans="9:10" ht="15.75" customHeight="1">
      <c r="I155" s="24"/>
      <c r="J155" s="25"/>
    </row>
    <row r="156" spans="9:10" ht="15.75" customHeight="1">
      <c r="I156" s="24"/>
      <c r="J156" s="25"/>
    </row>
    <row r="157" spans="9:10" ht="15.75" customHeight="1">
      <c r="I157" s="24"/>
      <c r="J157" s="25"/>
    </row>
    <row r="158" spans="9:10" ht="15.75" customHeight="1">
      <c r="I158" s="24"/>
      <c r="J158" s="25"/>
    </row>
    <row r="159" spans="9:10" ht="15.75" customHeight="1">
      <c r="I159" s="24"/>
      <c r="J159" s="25"/>
    </row>
    <row r="160" spans="9:10" ht="15.75" customHeight="1">
      <c r="I160" s="24"/>
      <c r="J160" s="25"/>
    </row>
    <row r="161" spans="9:10" ht="15.75" customHeight="1">
      <c r="I161" s="24"/>
      <c r="J161" s="25"/>
    </row>
    <row r="162" spans="9:10" ht="15.75" customHeight="1">
      <c r="I162" s="24"/>
      <c r="J162" s="25"/>
    </row>
    <row r="163" spans="9:10" ht="15.75" customHeight="1">
      <c r="I163" s="24"/>
      <c r="J163" s="25"/>
    </row>
    <row r="164" spans="9:10" ht="15.75" customHeight="1">
      <c r="I164" s="24"/>
      <c r="J164" s="25"/>
    </row>
    <row r="165" spans="9:10" ht="15.75" customHeight="1">
      <c r="I165" s="24"/>
      <c r="J165" s="25"/>
    </row>
    <row r="166" spans="9:10" ht="15.75" customHeight="1">
      <c r="I166" s="24"/>
      <c r="J166" s="25"/>
    </row>
    <row r="167" spans="9:10" ht="15.75" customHeight="1">
      <c r="I167" s="24"/>
      <c r="J167" s="25"/>
    </row>
    <row r="168" spans="9:10" ht="15.75" customHeight="1">
      <c r="I168" s="24"/>
      <c r="J168" s="25"/>
    </row>
    <row r="169" spans="9:10" ht="15.75" customHeight="1">
      <c r="I169" s="24"/>
      <c r="J169" s="25"/>
    </row>
    <row r="170" spans="9:10" ht="15.75" customHeight="1">
      <c r="I170" s="24"/>
      <c r="J170" s="25"/>
    </row>
    <row r="171" spans="9:10" ht="15.75" customHeight="1">
      <c r="I171" s="24"/>
      <c r="J171" s="25"/>
    </row>
    <row r="172" spans="9:10" ht="15.75" customHeight="1">
      <c r="I172" s="24"/>
      <c r="J172" s="25"/>
    </row>
    <row r="173" spans="9:10" ht="15.75" customHeight="1">
      <c r="I173" s="24"/>
      <c r="J173" s="25"/>
    </row>
    <row r="174" spans="9:10" ht="15.75" customHeight="1">
      <c r="I174" s="24"/>
      <c r="J174" s="25"/>
    </row>
    <row r="175" spans="9:10" ht="15.75" customHeight="1">
      <c r="I175" s="24"/>
      <c r="J175" s="25"/>
    </row>
    <row r="176" spans="9:10" ht="15.75" customHeight="1">
      <c r="I176" s="24"/>
      <c r="J176" s="25"/>
    </row>
    <row r="177" spans="9:10" ht="15.75" customHeight="1">
      <c r="I177" s="24"/>
      <c r="J177" s="25"/>
    </row>
    <row r="178" spans="9:10" ht="15.75" customHeight="1">
      <c r="I178" s="24"/>
      <c r="J178" s="25"/>
    </row>
    <row r="179" spans="9:10" ht="15.75" customHeight="1">
      <c r="I179" s="24"/>
      <c r="J179" s="25"/>
    </row>
    <row r="180" spans="9:10" ht="15.75" customHeight="1">
      <c r="I180" s="24"/>
      <c r="J180" s="25"/>
    </row>
    <row r="181" spans="9:10" ht="15.75" customHeight="1">
      <c r="I181" s="24"/>
      <c r="J181" s="25"/>
    </row>
    <row r="182" spans="9:10" ht="15.75" customHeight="1">
      <c r="I182" s="24"/>
      <c r="J182" s="25"/>
    </row>
    <row r="183" spans="9:10" ht="15.75" customHeight="1">
      <c r="I183" s="24"/>
      <c r="J183" s="25"/>
    </row>
    <row r="184" spans="9:10" ht="15.75" customHeight="1">
      <c r="I184" s="24"/>
      <c r="J184" s="25"/>
    </row>
    <row r="185" spans="9:10" ht="15.75" customHeight="1">
      <c r="I185" s="24"/>
      <c r="J185" s="25"/>
    </row>
    <row r="186" spans="9:10" ht="15.75" customHeight="1">
      <c r="I186" s="24"/>
      <c r="J186" s="25"/>
    </row>
    <row r="187" spans="9:10" ht="15.75" customHeight="1">
      <c r="I187" s="24"/>
      <c r="J187" s="25"/>
    </row>
    <row r="188" spans="9:10" ht="15.75" customHeight="1">
      <c r="I188" s="24"/>
      <c r="J188" s="25"/>
    </row>
    <row r="189" spans="9:10" ht="15.75" customHeight="1">
      <c r="I189" s="24"/>
      <c r="J189" s="25"/>
    </row>
    <row r="190" spans="9:10" ht="15.75" customHeight="1">
      <c r="I190" s="24"/>
      <c r="J190" s="25"/>
    </row>
    <row r="191" spans="9:10" ht="15.75" customHeight="1">
      <c r="I191" s="24"/>
      <c r="J191" s="25"/>
    </row>
    <row r="192" spans="9:10" ht="15.75" customHeight="1">
      <c r="I192" s="24"/>
      <c r="J192" s="25"/>
    </row>
    <row r="193" spans="9:10" ht="15.75" customHeight="1">
      <c r="I193" s="24"/>
      <c r="J193" s="25"/>
    </row>
    <row r="194" spans="9:10" ht="15.75" customHeight="1">
      <c r="I194" s="24"/>
      <c r="J194" s="25"/>
    </row>
    <row r="195" spans="9:10" ht="15.75" customHeight="1">
      <c r="I195" s="24"/>
      <c r="J195" s="25"/>
    </row>
    <row r="196" spans="9:10" ht="15.75" customHeight="1">
      <c r="I196" s="24"/>
      <c r="J196" s="25"/>
    </row>
    <row r="197" spans="9:10" ht="15.75" customHeight="1">
      <c r="I197" s="24"/>
      <c r="J197" s="25"/>
    </row>
    <row r="198" spans="9:10" ht="15.75" customHeight="1">
      <c r="I198" s="24"/>
      <c r="J198" s="25"/>
    </row>
    <row r="199" spans="9:10" ht="15.75" customHeight="1">
      <c r="I199" s="24"/>
      <c r="J199" s="25"/>
    </row>
    <row r="200" spans="9:10" ht="15.75" customHeight="1">
      <c r="I200" s="24"/>
      <c r="J200" s="25"/>
    </row>
    <row r="201" spans="9:10" ht="15.75" customHeight="1">
      <c r="I201" s="24"/>
      <c r="J201" s="25"/>
    </row>
    <row r="202" spans="9:10" ht="15.75" customHeight="1">
      <c r="I202" s="24"/>
      <c r="J202" s="25"/>
    </row>
    <row r="203" spans="9:10" ht="15.75" customHeight="1">
      <c r="I203" s="24"/>
      <c r="J203" s="25"/>
    </row>
    <row r="204" spans="9:10" ht="15.75" customHeight="1">
      <c r="I204" s="24"/>
      <c r="J204" s="25"/>
    </row>
    <row r="205" spans="9:10" ht="15.75" customHeight="1">
      <c r="I205" s="24"/>
      <c r="J205" s="25"/>
    </row>
    <row r="206" spans="9:10" ht="15.75" customHeight="1">
      <c r="I206" s="24"/>
      <c r="J206" s="25"/>
    </row>
    <row r="207" spans="9:10" ht="15.75" customHeight="1">
      <c r="I207" s="24"/>
      <c r="J207" s="25"/>
    </row>
    <row r="208" spans="9:10" ht="15.75" customHeight="1">
      <c r="I208" s="24"/>
      <c r="J208" s="25"/>
    </row>
    <row r="209" spans="9:10" ht="15.75" customHeight="1">
      <c r="I209" s="24"/>
      <c r="J209" s="25"/>
    </row>
    <row r="210" spans="9:10" ht="15.75" customHeight="1">
      <c r="I210" s="24"/>
      <c r="J210" s="25"/>
    </row>
    <row r="211" spans="9:10" ht="15.75" customHeight="1">
      <c r="I211" s="24"/>
      <c r="J211" s="25"/>
    </row>
    <row r="212" spans="9:10" ht="15.75" customHeight="1">
      <c r="I212" s="24"/>
      <c r="J212" s="25"/>
    </row>
    <row r="213" spans="9:10" ht="15.75" customHeight="1">
      <c r="I213" s="24"/>
      <c r="J213" s="25"/>
    </row>
    <row r="214" spans="9:10" ht="15.75" customHeight="1">
      <c r="I214" s="24"/>
      <c r="J214" s="25"/>
    </row>
    <row r="215" spans="9:10" ht="15.75" customHeight="1">
      <c r="I215" s="24"/>
      <c r="J215" s="25"/>
    </row>
    <row r="216" spans="9:10" ht="15.75" customHeight="1">
      <c r="I216" s="24"/>
      <c r="J216" s="25"/>
    </row>
    <row r="217" spans="9:10" ht="15.75" customHeight="1">
      <c r="I217" s="24"/>
      <c r="J217" s="25"/>
    </row>
    <row r="218" spans="9:10" ht="15.75" customHeight="1">
      <c r="I218" s="24"/>
      <c r="J218" s="25"/>
    </row>
    <row r="219" spans="9:10" ht="15.75" customHeight="1">
      <c r="I219" s="24"/>
      <c r="J219" s="25"/>
    </row>
    <row r="220" spans="9:10" ht="15.75" customHeight="1">
      <c r="I220" s="24"/>
      <c r="J220" s="25"/>
    </row>
    <row r="221" spans="9:10" ht="15.75" customHeight="1">
      <c r="I221" s="24"/>
      <c r="J221" s="25"/>
    </row>
    <row r="222" spans="9:10" ht="15.75" customHeight="1">
      <c r="I222" s="24"/>
      <c r="J222" s="25"/>
    </row>
    <row r="223" spans="9:10" ht="15.75" customHeight="1">
      <c r="I223" s="24"/>
      <c r="J223" s="25"/>
    </row>
    <row r="224" spans="9:10" ht="15.75" customHeight="1">
      <c r="I224" s="24"/>
      <c r="J224" s="25"/>
    </row>
    <row r="225" spans="9:10" ht="15.75" customHeight="1">
      <c r="I225" s="24"/>
      <c r="J225" s="25"/>
    </row>
    <row r="226" spans="9:10" ht="15.75" customHeight="1">
      <c r="I226" s="24"/>
      <c r="J226" s="25"/>
    </row>
    <row r="227" spans="9:10" ht="15.75" customHeight="1">
      <c r="I227" s="24"/>
      <c r="J227" s="25"/>
    </row>
    <row r="228" spans="9:10" ht="15.75" customHeight="1">
      <c r="I228" s="24"/>
      <c r="J228" s="25"/>
    </row>
    <row r="229" spans="9:10" ht="15.75" customHeight="1">
      <c r="I229" s="24"/>
      <c r="J229" s="25"/>
    </row>
    <row r="230" spans="9:10" ht="15.75" customHeight="1">
      <c r="I230" s="24"/>
      <c r="J230" s="25"/>
    </row>
    <row r="231" spans="9:10" ht="15.75" customHeight="1">
      <c r="I231" s="24"/>
      <c r="J231" s="25"/>
    </row>
    <row r="232" spans="9:10" ht="15.75" customHeight="1">
      <c r="I232" s="24"/>
      <c r="J232" s="25"/>
    </row>
    <row r="233" spans="9:10" ht="15.75" customHeight="1">
      <c r="I233" s="24"/>
      <c r="J233" s="25"/>
    </row>
    <row r="234" spans="9:10" ht="15.75" customHeight="1">
      <c r="I234" s="24"/>
      <c r="J234" s="25"/>
    </row>
    <row r="235" spans="9:10" ht="15.75" customHeight="1">
      <c r="I235" s="24"/>
      <c r="J235" s="25"/>
    </row>
    <row r="236" spans="9:10" ht="15.75" customHeight="1">
      <c r="I236" s="24"/>
      <c r="J236" s="25"/>
    </row>
    <row r="237" spans="9:10" ht="15.75" customHeight="1">
      <c r="I237" s="24"/>
      <c r="J237" s="25"/>
    </row>
    <row r="238" spans="9:10" ht="15.75" customHeight="1">
      <c r="I238" s="24"/>
      <c r="J238" s="25"/>
    </row>
    <row r="239" spans="9:10" ht="15.75" customHeight="1">
      <c r="I239" s="24"/>
      <c r="J239" s="25"/>
    </row>
    <row r="240" spans="9:10" ht="15.75" customHeight="1">
      <c r="I240" s="24"/>
      <c r="J240" s="25"/>
    </row>
    <row r="241" spans="9:10" ht="15.75" customHeight="1">
      <c r="I241" s="24"/>
      <c r="J241" s="25"/>
    </row>
    <row r="242" spans="9:10" ht="15.75" customHeight="1">
      <c r="I242" s="24"/>
      <c r="J242" s="25"/>
    </row>
    <row r="243" spans="9:10" ht="15.75" customHeight="1">
      <c r="I243" s="24"/>
      <c r="J243" s="25"/>
    </row>
    <row r="244" spans="9:10" ht="15.75" customHeight="1">
      <c r="I244" s="24"/>
      <c r="J244" s="25"/>
    </row>
    <row r="245" spans="9:10" ht="15.75" customHeight="1">
      <c r="I245" s="24"/>
      <c r="J245" s="25"/>
    </row>
    <row r="246" spans="9:10" ht="15.75" customHeight="1">
      <c r="I246" s="24"/>
      <c r="J246" s="25"/>
    </row>
    <row r="247" spans="9:10" ht="15.75" customHeight="1">
      <c r="I247" s="24"/>
      <c r="J247" s="25"/>
    </row>
    <row r="248" spans="9:10" ht="15.75" customHeight="1">
      <c r="I248" s="24"/>
      <c r="J248" s="25"/>
    </row>
    <row r="249" spans="9:10" ht="15.75" customHeight="1">
      <c r="I249" s="24"/>
      <c r="J249" s="25"/>
    </row>
    <row r="250" spans="9:10" ht="15.75" customHeight="1">
      <c r="I250" s="24"/>
      <c r="J250" s="25"/>
    </row>
    <row r="251" spans="9:10" ht="15.75" customHeight="1">
      <c r="I251" s="24"/>
      <c r="J251" s="25"/>
    </row>
    <row r="252" spans="9:10" ht="15.75" customHeight="1">
      <c r="I252" s="24"/>
      <c r="J252" s="25"/>
    </row>
    <row r="253" spans="9:10" ht="15.75" customHeight="1">
      <c r="I253" s="24"/>
      <c r="J253" s="25"/>
    </row>
    <row r="254" spans="9:10" ht="15.75" customHeight="1">
      <c r="I254" s="24"/>
      <c r="J254" s="25"/>
    </row>
    <row r="255" spans="9:10" ht="15.75" customHeight="1">
      <c r="I255" s="24"/>
      <c r="J255" s="25"/>
    </row>
    <row r="256" spans="9:10" ht="15.75" customHeight="1">
      <c r="I256" s="24"/>
      <c r="J256" s="25"/>
    </row>
    <row r="257" spans="9:10" ht="15.75" customHeight="1">
      <c r="I257" s="24"/>
      <c r="J257" s="25"/>
    </row>
    <row r="258" spans="9:10" ht="15.75" customHeight="1">
      <c r="I258" s="24"/>
      <c r="J258" s="25"/>
    </row>
    <row r="259" spans="9:10" ht="15.75" customHeight="1">
      <c r="I259" s="24"/>
      <c r="J259" s="25"/>
    </row>
    <row r="260" spans="9:10" ht="15.75" customHeight="1">
      <c r="I260" s="24"/>
      <c r="J260" s="25"/>
    </row>
    <row r="261" spans="9:10" ht="15.75" customHeight="1">
      <c r="I261" s="24"/>
      <c r="J261" s="25"/>
    </row>
    <row r="262" spans="9:10" ht="15.75" customHeight="1">
      <c r="I262" s="24"/>
      <c r="J262" s="25"/>
    </row>
    <row r="263" spans="9:10" ht="15.75" customHeight="1">
      <c r="I263" s="24"/>
      <c r="J263" s="25"/>
    </row>
    <row r="264" spans="9:10" ht="15.75" customHeight="1">
      <c r="I264" s="24"/>
      <c r="J264" s="25"/>
    </row>
    <row r="265" spans="9:10" ht="15.75" customHeight="1">
      <c r="I265" s="24"/>
      <c r="J265" s="25"/>
    </row>
    <row r="266" spans="9:10" ht="15.75" customHeight="1">
      <c r="I266" s="24"/>
      <c r="J266" s="25"/>
    </row>
    <row r="267" spans="9:10" ht="15.75" customHeight="1">
      <c r="I267" s="24"/>
      <c r="J267" s="25"/>
    </row>
    <row r="268" spans="9:10" ht="15.75" customHeight="1">
      <c r="I268" s="24"/>
      <c r="J268" s="25"/>
    </row>
    <row r="269" spans="9:10" ht="15.75" customHeight="1">
      <c r="I269" s="24"/>
      <c r="J269" s="25"/>
    </row>
    <row r="270" spans="9:10" ht="15.75" customHeight="1">
      <c r="I270" s="24"/>
      <c r="J270" s="25"/>
    </row>
    <row r="271" spans="9:10" ht="15.75" customHeight="1">
      <c r="I271" s="24"/>
      <c r="J271" s="25"/>
    </row>
    <row r="272" spans="9:10" ht="15.75" customHeight="1">
      <c r="I272" s="24"/>
      <c r="J272" s="25"/>
    </row>
    <row r="273" spans="9:10" ht="15.75" customHeight="1">
      <c r="I273" s="24"/>
      <c r="J273" s="25"/>
    </row>
    <row r="274" spans="9:10" ht="15.75" customHeight="1">
      <c r="I274" s="24"/>
      <c r="J274" s="25"/>
    </row>
    <row r="275" spans="9:10" ht="15.75" customHeight="1">
      <c r="I275" s="24"/>
      <c r="J275" s="25"/>
    </row>
    <row r="276" spans="9:10" ht="15.75" customHeight="1">
      <c r="I276" s="24"/>
      <c r="J276" s="25"/>
    </row>
    <row r="277" spans="9:10" ht="15.75" customHeight="1">
      <c r="I277" s="24"/>
      <c r="J277" s="25"/>
    </row>
    <row r="278" spans="9:10" ht="15.75" customHeight="1">
      <c r="I278" s="24"/>
      <c r="J278" s="25"/>
    </row>
    <row r="279" spans="9:10" ht="15.75" customHeight="1">
      <c r="I279" s="24"/>
      <c r="J279" s="25"/>
    </row>
    <row r="280" spans="9:10" ht="15.75" customHeight="1">
      <c r="I280" s="24"/>
      <c r="J280" s="25"/>
    </row>
    <row r="281" spans="9:10" ht="15.75" customHeight="1">
      <c r="I281" s="24"/>
      <c r="J281" s="25"/>
    </row>
    <row r="282" spans="9:10" ht="15.75" customHeight="1">
      <c r="I282" s="24"/>
      <c r="J282" s="25"/>
    </row>
    <row r="283" spans="9:10" ht="15.75" customHeight="1">
      <c r="I283" s="24"/>
      <c r="J283" s="25"/>
    </row>
    <row r="284" spans="9:10" ht="15.75" customHeight="1">
      <c r="I284" s="24"/>
      <c r="J284" s="25"/>
    </row>
    <row r="285" spans="9:10" ht="15.75" customHeight="1">
      <c r="I285" s="24"/>
      <c r="J285" s="25"/>
    </row>
    <row r="286" spans="9:10" ht="15.75" customHeight="1">
      <c r="I286" s="24"/>
      <c r="J286" s="25"/>
    </row>
    <row r="287" spans="9:10" ht="15.75" customHeight="1">
      <c r="I287" s="24"/>
      <c r="J287" s="25"/>
    </row>
    <row r="288" spans="9:10" ht="15.75" customHeight="1">
      <c r="I288" s="24"/>
      <c r="J288" s="25"/>
    </row>
    <row r="289" spans="9:10" ht="15.75" customHeight="1">
      <c r="I289" s="24"/>
      <c r="J289" s="25"/>
    </row>
    <row r="290" spans="9:10" ht="15.75" customHeight="1">
      <c r="I290" s="24"/>
      <c r="J290" s="25"/>
    </row>
    <row r="291" spans="9:10" ht="15.75" customHeight="1">
      <c r="I291" s="24"/>
      <c r="J291" s="25"/>
    </row>
    <row r="292" spans="9:10" ht="15.75" customHeight="1">
      <c r="I292" s="24"/>
      <c r="J292" s="25"/>
    </row>
    <row r="293" spans="9:10" ht="15.75" customHeight="1">
      <c r="I293" s="24"/>
      <c r="J293" s="25"/>
    </row>
    <row r="294" spans="9:10" ht="15.75" customHeight="1">
      <c r="I294" s="24"/>
      <c r="J294" s="25"/>
    </row>
    <row r="295" spans="9:10" ht="15.75" customHeight="1">
      <c r="I295" s="24"/>
      <c r="J295" s="25"/>
    </row>
    <row r="296" spans="9:10" ht="15.75" customHeight="1">
      <c r="I296" s="24"/>
      <c r="J296" s="25"/>
    </row>
    <row r="297" spans="9:10" ht="15.75" customHeight="1">
      <c r="I297" s="24"/>
      <c r="J297" s="25"/>
    </row>
    <row r="298" spans="9:10" ht="15.75" customHeight="1">
      <c r="I298" s="24"/>
      <c r="J298" s="25"/>
    </row>
    <row r="299" spans="9:10" ht="15.75" customHeight="1">
      <c r="I299" s="24"/>
      <c r="J299" s="25"/>
    </row>
    <row r="300" spans="9:10" ht="15.75" customHeight="1">
      <c r="I300" s="24"/>
      <c r="J300" s="25"/>
    </row>
    <row r="301" spans="9:10" ht="15.75" customHeight="1">
      <c r="I301" s="24"/>
      <c r="J301" s="25"/>
    </row>
    <row r="302" spans="9:10" ht="15.75" customHeight="1">
      <c r="I302" s="24"/>
      <c r="J302" s="25"/>
    </row>
    <row r="303" spans="9:10" ht="15.75" customHeight="1">
      <c r="I303" s="24"/>
      <c r="J303" s="25"/>
    </row>
    <row r="304" spans="9:10" ht="15.75" customHeight="1">
      <c r="I304" s="24"/>
      <c r="J304" s="25"/>
    </row>
    <row r="305" spans="9:10" ht="15.75" customHeight="1">
      <c r="I305" s="24"/>
      <c r="J305" s="25"/>
    </row>
    <row r="306" spans="9:10" ht="15.75" customHeight="1">
      <c r="I306" s="24"/>
      <c r="J306" s="25"/>
    </row>
    <row r="307" spans="9:10" ht="15.75" customHeight="1">
      <c r="I307" s="24"/>
      <c r="J307" s="25"/>
    </row>
    <row r="308" spans="9:10" ht="15.75" customHeight="1">
      <c r="I308" s="24"/>
      <c r="J308" s="25"/>
    </row>
    <row r="309" spans="9:10" ht="15.75" customHeight="1">
      <c r="I309" s="24"/>
      <c r="J309" s="25"/>
    </row>
    <row r="310" spans="9:10" ht="15.75" customHeight="1">
      <c r="I310" s="24"/>
      <c r="J310" s="25"/>
    </row>
    <row r="311" spans="9:10" ht="15.75" customHeight="1">
      <c r="I311" s="24"/>
      <c r="J311" s="25"/>
    </row>
    <row r="312" spans="9:10" ht="15.75" customHeight="1">
      <c r="I312" s="24"/>
      <c r="J312" s="25"/>
    </row>
    <row r="313" spans="9:10" ht="15.75" customHeight="1">
      <c r="I313" s="24"/>
      <c r="J313" s="25"/>
    </row>
    <row r="314" spans="9:10" ht="15.75" customHeight="1">
      <c r="I314" s="24"/>
      <c r="J314" s="25"/>
    </row>
    <row r="315" spans="9:10" ht="15.75" customHeight="1">
      <c r="I315" s="24"/>
      <c r="J315" s="25"/>
    </row>
    <row r="316" spans="9:10" ht="15.75" customHeight="1">
      <c r="I316" s="24"/>
      <c r="J316" s="25"/>
    </row>
    <row r="317" spans="9:10" ht="15.75" customHeight="1">
      <c r="I317" s="24"/>
      <c r="J317" s="25"/>
    </row>
    <row r="318" spans="9:10" ht="15.75" customHeight="1">
      <c r="I318" s="24"/>
      <c r="J318" s="25"/>
    </row>
    <row r="319" spans="9:10" ht="15.75" customHeight="1">
      <c r="I319" s="24"/>
      <c r="J319" s="25"/>
    </row>
    <row r="320" spans="9:10" ht="15.75" customHeight="1">
      <c r="I320" s="24"/>
      <c r="J320" s="25"/>
    </row>
    <row r="321" spans="9:10" ht="15.75" customHeight="1">
      <c r="I321" s="24"/>
      <c r="J321" s="25"/>
    </row>
    <row r="322" spans="9:10" ht="15.75" customHeight="1">
      <c r="I322" s="24"/>
      <c r="J322" s="25"/>
    </row>
    <row r="323" spans="9:10" ht="15.75" customHeight="1">
      <c r="I323" s="24"/>
      <c r="J323" s="25"/>
    </row>
    <row r="324" spans="9:10" ht="15.75" customHeight="1">
      <c r="I324" s="24"/>
      <c r="J324" s="25"/>
    </row>
    <row r="325" spans="9:10" ht="15.75" customHeight="1">
      <c r="I325" s="24"/>
      <c r="J325" s="25"/>
    </row>
    <row r="326" spans="9:10" ht="15.75" customHeight="1">
      <c r="I326" s="24"/>
      <c r="J326" s="25"/>
    </row>
    <row r="327" spans="9:10" ht="15.75" customHeight="1">
      <c r="I327" s="24"/>
      <c r="J327" s="25"/>
    </row>
    <row r="328" spans="9:10" ht="15.75" customHeight="1">
      <c r="I328" s="24"/>
      <c r="J328" s="25"/>
    </row>
    <row r="329" spans="9:10" ht="15.75" customHeight="1">
      <c r="I329" s="24"/>
      <c r="J329" s="25"/>
    </row>
    <row r="330" spans="9:10" ht="15.75" customHeight="1">
      <c r="I330" s="24"/>
      <c r="J330" s="25"/>
    </row>
    <row r="331" spans="9:10" ht="15.75" customHeight="1">
      <c r="I331" s="24"/>
      <c r="J331" s="25"/>
    </row>
    <row r="332" spans="9:10" ht="15.75" customHeight="1">
      <c r="I332" s="24"/>
      <c r="J332" s="25"/>
    </row>
    <row r="333" spans="9:10" ht="15.75" customHeight="1">
      <c r="I333" s="24"/>
      <c r="J333" s="25"/>
    </row>
    <row r="334" spans="9:10" ht="15.75" customHeight="1">
      <c r="I334" s="24"/>
      <c r="J334" s="25"/>
    </row>
    <row r="335" spans="9:10" ht="15.75" customHeight="1">
      <c r="I335" s="24"/>
      <c r="J335" s="25"/>
    </row>
    <row r="336" spans="9:10" ht="15.75" customHeight="1">
      <c r="I336" s="24"/>
      <c r="J336" s="25"/>
    </row>
    <row r="337" spans="9:10" ht="15.75" customHeight="1">
      <c r="I337" s="24"/>
      <c r="J337" s="25"/>
    </row>
    <row r="338" spans="9:10" ht="15.75" customHeight="1">
      <c r="I338" s="24"/>
      <c r="J338" s="25"/>
    </row>
    <row r="339" spans="9:10" ht="15.75" customHeight="1">
      <c r="I339" s="24"/>
      <c r="J339" s="25"/>
    </row>
    <row r="340" spans="9:10" ht="15.75" customHeight="1">
      <c r="I340" s="24"/>
      <c r="J340" s="25"/>
    </row>
    <row r="341" spans="9:10" ht="15.75" customHeight="1">
      <c r="I341" s="24"/>
      <c r="J341" s="25"/>
    </row>
    <row r="342" spans="9:10" ht="15.75" customHeight="1">
      <c r="I342" s="24"/>
      <c r="J342" s="25"/>
    </row>
    <row r="343" spans="9:10" ht="15.75" customHeight="1">
      <c r="I343" s="24"/>
      <c r="J343" s="25"/>
    </row>
    <row r="344" spans="9:10" ht="15.75" customHeight="1">
      <c r="I344" s="24"/>
      <c r="J344" s="25"/>
    </row>
    <row r="345" spans="9:10" ht="15.75" customHeight="1">
      <c r="I345" s="24"/>
      <c r="J345" s="25"/>
    </row>
    <row r="346" spans="9:10" ht="15.75" customHeight="1">
      <c r="I346" s="24"/>
      <c r="J346" s="25"/>
    </row>
    <row r="347" spans="9:10" ht="15.75" customHeight="1">
      <c r="I347" s="24"/>
      <c r="J347" s="25"/>
    </row>
    <row r="348" spans="9:10" ht="15.75" customHeight="1">
      <c r="I348" s="24"/>
      <c r="J348" s="25"/>
    </row>
    <row r="349" spans="9:10" ht="15.75" customHeight="1">
      <c r="I349" s="24"/>
      <c r="J349" s="25"/>
    </row>
    <row r="350" spans="9:10" ht="15.75" customHeight="1">
      <c r="I350" s="24"/>
      <c r="J350" s="25"/>
    </row>
    <row r="351" spans="9:10" ht="15.75" customHeight="1">
      <c r="I351" s="24"/>
      <c r="J351" s="25"/>
    </row>
    <row r="352" spans="9:10" ht="15.75" customHeight="1">
      <c r="I352" s="24"/>
      <c r="J352" s="25"/>
    </row>
    <row r="353" spans="9:10" ht="15.75" customHeight="1">
      <c r="I353" s="24"/>
      <c r="J353" s="25"/>
    </row>
    <row r="354" spans="9:10" ht="15.75" customHeight="1">
      <c r="I354" s="24"/>
      <c r="J354" s="25"/>
    </row>
    <row r="355" spans="9:10" ht="15.75" customHeight="1">
      <c r="I355" s="24"/>
      <c r="J355" s="25"/>
    </row>
    <row r="356" spans="9:10" ht="15.75" customHeight="1">
      <c r="I356" s="24"/>
      <c r="J356" s="25"/>
    </row>
    <row r="357" spans="9:10" ht="15.75" customHeight="1">
      <c r="I357" s="24"/>
      <c r="J357" s="25"/>
    </row>
    <row r="358" spans="9:10" ht="15.75" customHeight="1">
      <c r="I358" s="24"/>
      <c r="J358" s="25"/>
    </row>
    <row r="359" spans="9:10" ht="15.75" customHeight="1">
      <c r="I359" s="24"/>
      <c r="J359" s="25"/>
    </row>
    <row r="360" spans="9:10" ht="15.75" customHeight="1">
      <c r="I360" s="24"/>
      <c r="J360" s="25"/>
    </row>
    <row r="361" spans="9:10" ht="15.75" customHeight="1">
      <c r="I361" s="24"/>
      <c r="J361" s="25"/>
    </row>
    <row r="362" spans="9:10" ht="15.75" customHeight="1">
      <c r="I362" s="24"/>
      <c r="J362" s="25"/>
    </row>
    <row r="363" spans="9:10" ht="15.75" customHeight="1">
      <c r="I363" s="24"/>
      <c r="J363" s="25"/>
    </row>
    <row r="364" spans="9:10" ht="15.75" customHeight="1">
      <c r="I364" s="24"/>
      <c r="J364" s="25"/>
    </row>
    <row r="365" spans="9:10" ht="15.75" customHeight="1">
      <c r="I365" s="24"/>
      <c r="J365" s="25"/>
    </row>
    <row r="366" spans="9:10" ht="15.75" customHeight="1">
      <c r="I366" s="24"/>
      <c r="J366" s="25"/>
    </row>
    <row r="367" spans="9:10" ht="15.75" customHeight="1">
      <c r="I367" s="24"/>
      <c r="J367" s="25"/>
    </row>
    <row r="368" spans="9:10" ht="15.75" customHeight="1">
      <c r="I368" s="24"/>
      <c r="J368" s="25"/>
    </row>
    <row r="369" spans="9:10" ht="15.75" customHeight="1">
      <c r="I369" s="24"/>
      <c r="J369" s="25"/>
    </row>
    <row r="370" spans="9:10" ht="15.75" customHeight="1">
      <c r="I370" s="24"/>
      <c r="J370" s="25"/>
    </row>
    <row r="371" spans="9:10" ht="15.75" customHeight="1">
      <c r="I371" s="24"/>
      <c r="J371" s="25"/>
    </row>
    <row r="372" spans="9:10" ht="15.75" customHeight="1">
      <c r="I372" s="24"/>
      <c r="J372" s="25"/>
    </row>
    <row r="373" spans="9:10" ht="15.75" customHeight="1">
      <c r="I373" s="24"/>
      <c r="J373" s="25"/>
    </row>
    <row r="374" spans="9:10" ht="15.75" customHeight="1">
      <c r="I374" s="24"/>
      <c r="J374" s="25"/>
    </row>
    <row r="375" spans="9:10" ht="15.75" customHeight="1">
      <c r="I375" s="24"/>
      <c r="J375" s="25"/>
    </row>
    <row r="376" spans="9:10" ht="15.75" customHeight="1">
      <c r="I376" s="24"/>
      <c r="J376" s="25"/>
    </row>
    <row r="377" spans="9:10" ht="15.75" customHeight="1">
      <c r="I377" s="24"/>
      <c r="J377" s="25"/>
    </row>
    <row r="378" spans="9:10" ht="15.75" customHeight="1">
      <c r="I378" s="24"/>
      <c r="J378" s="25"/>
    </row>
    <row r="379" spans="9:10" ht="15.75" customHeight="1">
      <c r="I379" s="24"/>
      <c r="J379" s="25"/>
    </row>
    <row r="380" spans="9:10" ht="15.75" customHeight="1">
      <c r="I380" s="24"/>
      <c r="J380" s="25"/>
    </row>
    <row r="381" spans="9:10" ht="15.75" customHeight="1">
      <c r="I381" s="24"/>
      <c r="J381" s="25"/>
    </row>
    <row r="382" spans="9:10" ht="15.75" customHeight="1">
      <c r="I382" s="24"/>
      <c r="J382" s="25"/>
    </row>
    <row r="383" spans="9:10" ht="15.75" customHeight="1">
      <c r="I383" s="24"/>
      <c r="J383" s="25"/>
    </row>
    <row r="384" spans="9:10" ht="15.75" customHeight="1">
      <c r="I384" s="24"/>
      <c r="J384" s="25"/>
    </row>
    <row r="385" spans="9:10" ht="15.75" customHeight="1">
      <c r="I385" s="24"/>
      <c r="J385" s="25"/>
    </row>
    <row r="386" spans="9:10" ht="15.75" customHeight="1">
      <c r="I386" s="24"/>
      <c r="J386" s="25"/>
    </row>
    <row r="387" spans="9:10" ht="15.75" customHeight="1">
      <c r="I387" s="24"/>
      <c r="J387" s="25"/>
    </row>
    <row r="388" spans="9:10" ht="15.75" customHeight="1">
      <c r="I388" s="24"/>
      <c r="J388" s="25"/>
    </row>
    <row r="389" spans="9:10" ht="15.75" customHeight="1">
      <c r="I389" s="24"/>
      <c r="J389" s="25"/>
    </row>
    <row r="390" spans="9:10" ht="15.75" customHeight="1">
      <c r="I390" s="24"/>
      <c r="J390" s="25"/>
    </row>
    <row r="391" spans="9:10" ht="15.75" customHeight="1">
      <c r="I391" s="24"/>
      <c r="J391" s="25"/>
    </row>
    <row r="392" spans="9:10" ht="15.75" customHeight="1">
      <c r="I392" s="24"/>
      <c r="J392" s="25"/>
    </row>
    <row r="393" spans="9:10" ht="15.75" customHeight="1">
      <c r="I393" s="24"/>
      <c r="J393" s="25"/>
    </row>
    <row r="394" spans="9:10" ht="15.75" customHeight="1">
      <c r="I394" s="24"/>
      <c r="J394" s="25"/>
    </row>
    <row r="395" spans="9:10" ht="15.75" customHeight="1">
      <c r="I395" s="24"/>
      <c r="J395" s="25"/>
    </row>
    <row r="396" spans="9:10" ht="15.75" customHeight="1">
      <c r="I396" s="24"/>
      <c r="J396" s="25"/>
    </row>
    <row r="397" spans="9:10" ht="15.75" customHeight="1">
      <c r="I397" s="24"/>
      <c r="J397" s="25"/>
    </row>
    <row r="398" spans="9:10" ht="15.75" customHeight="1">
      <c r="I398" s="24"/>
      <c r="J398" s="25"/>
    </row>
    <row r="399" spans="9:10" ht="15.75" customHeight="1">
      <c r="I399" s="24"/>
      <c r="J399" s="25"/>
    </row>
    <row r="400" spans="9:10" ht="15.75" customHeight="1">
      <c r="I400" s="24"/>
      <c r="J400" s="25"/>
    </row>
    <row r="401" spans="9:10" ht="15.75" customHeight="1">
      <c r="I401" s="24"/>
      <c r="J401" s="25"/>
    </row>
    <row r="402" spans="9:10" ht="15.75" customHeight="1">
      <c r="I402" s="24"/>
      <c r="J402" s="25"/>
    </row>
    <row r="403" spans="9:10" ht="15.75" customHeight="1">
      <c r="I403" s="24"/>
      <c r="J403" s="25"/>
    </row>
    <row r="404" spans="9:10" ht="15.75" customHeight="1">
      <c r="I404" s="24"/>
      <c r="J404" s="25"/>
    </row>
    <row r="405" spans="9:10" ht="15.75" customHeight="1">
      <c r="I405" s="24"/>
      <c r="J405" s="25"/>
    </row>
    <row r="406" spans="9:10" ht="15.75" customHeight="1">
      <c r="I406" s="24"/>
      <c r="J406" s="25"/>
    </row>
    <row r="407" spans="9:10" ht="15.75" customHeight="1">
      <c r="I407" s="24"/>
      <c r="J407" s="25"/>
    </row>
    <row r="408" spans="9:10" ht="15.75" customHeight="1">
      <c r="I408" s="24"/>
      <c r="J408" s="25"/>
    </row>
    <row r="409" spans="9:10" ht="15.75" customHeight="1">
      <c r="I409" s="24"/>
      <c r="J409" s="25"/>
    </row>
    <row r="410" spans="9:10" ht="15.75" customHeight="1">
      <c r="I410" s="24"/>
      <c r="J410" s="25"/>
    </row>
    <row r="411" spans="9:10" ht="15.75" customHeight="1">
      <c r="I411" s="24"/>
      <c r="J411" s="25"/>
    </row>
    <row r="412" spans="9:10" ht="15.75" customHeight="1">
      <c r="I412" s="24"/>
      <c r="J412" s="25"/>
    </row>
    <row r="413" spans="9:10" ht="15.75" customHeight="1">
      <c r="I413" s="24"/>
      <c r="J413" s="25"/>
    </row>
    <row r="414" spans="9:10" ht="15.75" customHeight="1">
      <c r="I414" s="24"/>
      <c r="J414" s="25"/>
    </row>
    <row r="415" spans="9:10" ht="15.75" customHeight="1">
      <c r="I415" s="24"/>
      <c r="J415" s="25"/>
    </row>
    <row r="416" spans="9:10" ht="15.75" customHeight="1">
      <c r="I416" s="24"/>
      <c r="J416" s="25"/>
    </row>
    <row r="417" spans="9:10" ht="15.75" customHeight="1">
      <c r="I417" s="24"/>
      <c r="J417" s="25"/>
    </row>
    <row r="418" spans="9:10" ht="15.75" customHeight="1">
      <c r="I418" s="24"/>
      <c r="J418" s="25"/>
    </row>
    <row r="419" spans="9:10" ht="15.75" customHeight="1">
      <c r="I419" s="24"/>
      <c r="J419" s="25"/>
    </row>
    <row r="420" spans="9:10" ht="15.75" customHeight="1">
      <c r="I420" s="24"/>
      <c r="J420" s="25"/>
    </row>
    <row r="421" spans="9:10" ht="15.75" customHeight="1">
      <c r="I421" s="24"/>
      <c r="J421" s="25"/>
    </row>
    <row r="422" spans="9:10" ht="15.75" customHeight="1">
      <c r="I422" s="24"/>
      <c r="J422" s="25"/>
    </row>
    <row r="423" spans="9:10" ht="15.75" customHeight="1">
      <c r="I423" s="24"/>
      <c r="J423" s="25"/>
    </row>
    <row r="424" spans="9:10" ht="15.75" customHeight="1">
      <c r="I424" s="24"/>
      <c r="J424" s="25"/>
    </row>
    <row r="425" spans="9:10" ht="15.75" customHeight="1">
      <c r="I425" s="24"/>
      <c r="J425" s="25"/>
    </row>
    <row r="426" spans="9:10" ht="15.75" customHeight="1">
      <c r="I426" s="24"/>
      <c r="J426" s="25"/>
    </row>
    <row r="427" spans="9:10" ht="15.75" customHeight="1">
      <c r="I427" s="24"/>
      <c r="J427" s="25"/>
    </row>
    <row r="428" spans="9:10" ht="15.75" customHeight="1">
      <c r="I428" s="24"/>
      <c r="J428" s="25"/>
    </row>
    <row r="429" spans="9:10" ht="15.75" customHeight="1">
      <c r="I429" s="24"/>
      <c r="J429" s="25"/>
    </row>
    <row r="430" spans="9:10" ht="15.75" customHeight="1">
      <c r="I430" s="24"/>
      <c r="J430" s="25"/>
    </row>
    <row r="431" spans="9:10" ht="15.75" customHeight="1">
      <c r="I431" s="24"/>
      <c r="J431" s="25"/>
    </row>
    <row r="432" spans="9:10" ht="15.75" customHeight="1">
      <c r="I432" s="24"/>
      <c r="J432" s="25"/>
    </row>
    <row r="433" spans="9:10" ht="15.75" customHeight="1">
      <c r="I433" s="24"/>
      <c r="J433" s="25"/>
    </row>
    <row r="434" spans="9:10" ht="15.75" customHeight="1">
      <c r="I434" s="24"/>
      <c r="J434" s="25"/>
    </row>
    <row r="435" spans="9:10" ht="15.75" customHeight="1">
      <c r="I435" s="24"/>
      <c r="J435" s="25"/>
    </row>
    <row r="436" spans="9:10" ht="15.75" customHeight="1">
      <c r="I436" s="24"/>
      <c r="J436" s="25"/>
    </row>
    <row r="437" spans="9:10" ht="15.75" customHeight="1">
      <c r="I437" s="24"/>
      <c r="J437" s="25"/>
    </row>
    <row r="438" spans="9:10" ht="15.75" customHeight="1">
      <c r="I438" s="24"/>
      <c r="J438" s="25"/>
    </row>
    <row r="439" spans="9:10" ht="15.75" customHeight="1">
      <c r="I439" s="24"/>
      <c r="J439" s="25"/>
    </row>
    <row r="440" spans="9:10" ht="15.75" customHeight="1">
      <c r="I440" s="24"/>
      <c r="J440" s="25"/>
    </row>
    <row r="441" spans="9:10" ht="15.75" customHeight="1">
      <c r="I441" s="24"/>
      <c r="J441" s="25"/>
    </row>
    <row r="442" spans="9:10" ht="15.75" customHeight="1">
      <c r="I442" s="24"/>
      <c r="J442" s="25"/>
    </row>
    <row r="443" spans="9:10" ht="15.75" customHeight="1">
      <c r="I443" s="24"/>
      <c r="J443" s="25"/>
    </row>
    <row r="444" spans="9:10" ht="15.75" customHeight="1">
      <c r="I444" s="24"/>
      <c r="J444" s="25"/>
    </row>
    <row r="445" spans="9:10" ht="15.75" customHeight="1">
      <c r="I445" s="24"/>
      <c r="J445" s="25"/>
    </row>
    <row r="446" spans="9:10" ht="15.75" customHeight="1">
      <c r="I446" s="24"/>
      <c r="J446" s="25"/>
    </row>
    <row r="447" spans="9:10" ht="15.75" customHeight="1">
      <c r="I447" s="24"/>
      <c r="J447" s="25"/>
    </row>
    <row r="448" spans="9:10" ht="15.75" customHeight="1">
      <c r="I448" s="24"/>
      <c r="J448" s="25"/>
    </row>
    <row r="449" spans="9:10" ht="15.75" customHeight="1">
      <c r="I449" s="24"/>
      <c r="J449" s="25"/>
    </row>
    <row r="450" spans="9:10" ht="15.75" customHeight="1">
      <c r="I450" s="24"/>
      <c r="J450" s="25"/>
    </row>
    <row r="451" spans="9:10" ht="15.75" customHeight="1">
      <c r="I451" s="24"/>
      <c r="J451" s="25"/>
    </row>
    <row r="452" spans="9:10" ht="15.75" customHeight="1">
      <c r="I452" s="24"/>
      <c r="J452" s="25"/>
    </row>
    <row r="453" spans="9:10" ht="15.75" customHeight="1">
      <c r="I453" s="24"/>
      <c r="J453" s="25"/>
    </row>
    <row r="454" spans="9:10" ht="15.75" customHeight="1">
      <c r="I454" s="24"/>
      <c r="J454" s="25"/>
    </row>
    <row r="455" spans="9:10" ht="15.75" customHeight="1">
      <c r="I455" s="24"/>
      <c r="J455" s="25"/>
    </row>
    <row r="456" spans="9:10" ht="15.75" customHeight="1">
      <c r="I456" s="24"/>
      <c r="J456" s="25"/>
    </row>
    <row r="457" spans="9:10" ht="15.75" customHeight="1">
      <c r="I457" s="24"/>
      <c r="J457" s="25"/>
    </row>
    <row r="458" spans="9:10" ht="15.75" customHeight="1">
      <c r="I458" s="24"/>
      <c r="J458" s="25"/>
    </row>
    <row r="459" spans="9:10" ht="15.75" customHeight="1">
      <c r="I459" s="24"/>
      <c r="J459" s="25"/>
    </row>
    <row r="460" spans="9:10" ht="15.75" customHeight="1">
      <c r="I460" s="24"/>
      <c r="J460" s="25"/>
    </row>
    <row r="461" spans="9:10" ht="15.75" customHeight="1">
      <c r="I461" s="24"/>
      <c r="J461" s="25"/>
    </row>
    <row r="462" spans="9:10" ht="15.75" customHeight="1">
      <c r="I462" s="24"/>
      <c r="J462" s="25"/>
    </row>
    <row r="463" spans="9:10" ht="15.75" customHeight="1">
      <c r="I463" s="24"/>
      <c r="J463" s="25"/>
    </row>
    <row r="464" spans="9:10" ht="15.75" customHeight="1">
      <c r="I464" s="24"/>
      <c r="J464" s="25"/>
    </row>
    <row r="465" spans="9:10" ht="15.75" customHeight="1">
      <c r="I465" s="24"/>
      <c r="J465" s="25"/>
    </row>
    <row r="466" spans="9:10" ht="15.75" customHeight="1">
      <c r="I466" s="24"/>
      <c r="J466" s="25"/>
    </row>
    <row r="467" spans="9:10" ht="15.75" customHeight="1">
      <c r="I467" s="24"/>
      <c r="J467" s="25"/>
    </row>
    <row r="468" spans="9:10" ht="15.75" customHeight="1">
      <c r="I468" s="24"/>
      <c r="J468" s="25"/>
    </row>
    <row r="469" spans="9:10" ht="15.75" customHeight="1">
      <c r="I469" s="24"/>
      <c r="J469" s="25"/>
    </row>
    <row r="470" spans="9:10" ht="15.75" customHeight="1">
      <c r="I470" s="24"/>
      <c r="J470" s="25"/>
    </row>
    <row r="471" spans="9:10" ht="15.75" customHeight="1">
      <c r="I471" s="24"/>
      <c r="J471" s="25"/>
    </row>
    <row r="472" spans="9:10" ht="15.75" customHeight="1">
      <c r="I472" s="24"/>
      <c r="J472" s="25"/>
    </row>
    <row r="473" spans="9:10" ht="15.75" customHeight="1">
      <c r="I473" s="24"/>
      <c r="J473" s="25"/>
    </row>
    <row r="474" spans="9:10" ht="15.75" customHeight="1">
      <c r="I474" s="24"/>
      <c r="J474" s="25"/>
    </row>
    <row r="475" spans="9:10" ht="15.75" customHeight="1">
      <c r="I475" s="24"/>
      <c r="J475" s="25"/>
    </row>
    <row r="476" spans="9:10" ht="15.75" customHeight="1">
      <c r="I476" s="24"/>
      <c r="J476" s="25"/>
    </row>
    <row r="477" spans="9:10" ht="15.75" customHeight="1">
      <c r="I477" s="24"/>
      <c r="J477" s="25"/>
    </row>
    <row r="478" spans="9:10" ht="15.75" customHeight="1">
      <c r="I478" s="24"/>
      <c r="J478" s="25"/>
    </row>
    <row r="479" spans="9:10" ht="15.75" customHeight="1">
      <c r="I479" s="24"/>
      <c r="J479" s="25"/>
    </row>
    <row r="480" spans="9:10" ht="15.75" customHeight="1">
      <c r="I480" s="24"/>
      <c r="J480" s="25"/>
    </row>
    <row r="481" spans="9:10" ht="15.75" customHeight="1">
      <c r="I481" s="24"/>
      <c r="J481" s="25"/>
    </row>
    <row r="482" spans="9:10" ht="15.75" customHeight="1">
      <c r="I482" s="24"/>
      <c r="J482" s="25"/>
    </row>
    <row r="483" spans="9:10" ht="15.75" customHeight="1">
      <c r="I483" s="24"/>
      <c r="J483" s="25"/>
    </row>
    <row r="484" spans="9:10" ht="15.75" customHeight="1">
      <c r="I484" s="24"/>
      <c r="J484" s="25"/>
    </row>
    <row r="485" spans="9:10" ht="15.75" customHeight="1">
      <c r="I485" s="24"/>
      <c r="J485" s="25"/>
    </row>
    <row r="486" spans="9:10" ht="15.75" customHeight="1">
      <c r="I486" s="24"/>
      <c r="J486" s="25"/>
    </row>
    <row r="487" spans="9:10" ht="15.75" customHeight="1">
      <c r="I487" s="24"/>
      <c r="J487" s="25"/>
    </row>
    <row r="488" spans="9:10" ht="15.75" customHeight="1">
      <c r="I488" s="24"/>
      <c r="J488" s="25"/>
    </row>
    <row r="489" spans="9:10" ht="15.75" customHeight="1">
      <c r="I489" s="24"/>
      <c r="J489" s="25"/>
    </row>
    <row r="490" spans="9:10" ht="15.75" customHeight="1">
      <c r="I490" s="24"/>
      <c r="J490" s="25"/>
    </row>
    <row r="491" spans="9:10" ht="15.75" customHeight="1">
      <c r="I491" s="24"/>
      <c r="J491" s="25"/>
    </row>
    <row r="492" spans="9:10" ht="15.75" customHeight="1">
      <c r="I492" s="24"/>
      <c r="J492" s="25"/>
    </row>
    <row r="493" spans="9:10" ht="15.75" customHeight="1">
      <c r="I493" s="24"/>
      <c r="J493" s="25"/>
    </row>
    <row r="494" spans="9:10" ht="15.75" customHeight="1">
      <c r="I494" s="24"/>
      <c r="J494" s="25"/>
    </row>
    <row r="495" spans="9:10" ht="15.75" customHeight="1">
      <c r="I495" s="24"/>
      <c r="J495" s="25"/>
    </row>
    <row r="496" spans="9:10" ht="15.75" customHeight="1">
      <c r="I496" s="24"/>
      <c r="J496" s="25"/>
    </row>
    <row r="497" spans="9:10" ht="15.75" customHeight="1">
      <c r="I497" s="24"/>
      <c r="J497" s="25"/>
    </row>
    <row r="498" spans="9:10" ht="15.75" customHeight="1">
      <c r="I498" s="24"/>
      <c r="J498" s="25"/>
    </row>
    <row r="499" spans="9:10" ht="15.75" customHeight="1">
      <c r="I499" s="24"/>
      <c r="J499" s="25"/>
    </row>
    <row r="500" spans="9:10" ht="15.75" customHeight="1">
      <c r="I500" s="24"/>
      <c r="J500" s="25"/>
    </row>
    <row r="501" spans="9:10" ht="15.75" customHeight="1">
      <c r="I501" s="24"/>
      <c r="J501" s="25"/>
    </row>
    <row r="502" spans="9:10" ht="15.75" customHeight="1">
      <c r="I502" s="24"/>
      <c r="J502" s="25"/>
    </row>
    <row r="503" spans="9:10" ht="15.75" customHeight="1">
      <c r="I503" s="24"/>
      <c r="J503" s="25"/>
    </row>
    <row r="504" spans="9:10" ht="15.75" customHeight="1">
      <c r="I504" s="24"/>
      <c r="J504" s="25"/>
    </row>
    <row r="505" spans="9:10" ht="15.75" customHeight="1">
      <c r="I505" s="24"/>
      <c r="J505" s="25"/>
    </row>
    <row r="506" spans="9:10" ht="15.75" customHeight="1">
      <c r="I506" s="24"/>
      <c r="J506" s="25"/>
    </row>
    <row r="507" spans="9:10" ht="15.75" customHeight="1">
      <c r="I507" s="24"/>
      <c r="J507" s="25"/>
    </row>
    <row r="508" spans="9:10" ht="15.75" customHeight="1">
      <c r="I508" s="24"/>
      <c r="J508" s="25"/>
    </row>
    <row r="509" spans="9:10" ht="15.75" customHeight="1">
      <c r="I509" s="24"/>
      <c r="J509" s="25"/>
    </row>
    <row r="510" spans="9:10" ht="15.75" customHeight="1">
      <c r="I510" s="24"/>
      <c r="J510" s="25"/>
    </row>
    <row r="511" spans="9:10" ht="15.75" customHeight="1">
      <c r="I511" s="24"/>
      <c r="J511" s="25"/>
    </row>
    <row r="512" spans="9:10" ht="15.75" customHeight="1">
      <c r="I512" s="24"/>
      <c r="J512" s="25"/>
    </row>
    <row r="513" spans="9:10" ht="15.75" customHeight="1">
      <c r="I513" s="24"/>
      <c r="J513" s="25"/>
    </row>
    <row r="514" spans="9:10" ht="15.75" customHeight="1">
      <c r="I514" s="24"/>
      <c r="J514" s="25"/>
    </row>
    <row r="515" spans="9:10" ht="15.75" customHeight="1">
      <c r="I515" s="24"/>
      <c r="J515" s="25"/>
    </row>
    <row r="516" spans="9:10" ht="15.75" customHeight="1">
      <c r="I516" s="24"/>
      <c r="J516" s="25"/>
    </row>
    <row r="517" spans="9:10" ht="15.75" customHeight="1">
      <c r="I517" s="24"/>
      <c r="J517" s="25"/>
    </row>
    <row r="518" spans="9:10" ht="15.75" customHeight="1">
      <c r="I518" s="24"/>
      <c r="J518" s="25"/>
    </row>
    <row r="519" spans="9:10" ht="15.75" customHeight="1">
      <c r="I519" s="24"/>
      <c r="J519" s="25"/>
    </row>
    <row r="520" spans="9:10" ht="15.75" customHeight="1">
      <c r="I520" s="24"/>
      <c r="J520" s="25"/>
    </row>
    <row r="521" spans="9:10" ht="15.75" customHeight="1">
      <c r="I521" s="24"/>
      <c r="J521" s="25"/>
    </row>
    <row r="522" spans="9:10" ht="15.75" customHeight="1">
      <c r="I522" s="24"/>
      <c r="J522" s="25"/>
    </row>
    <row r="523" spans="9:10" ht="15.75" customHeight="1">
      <c r="I523" s="24"/>
      <c r="J523" s="25"/>
    </row>
    <row r="524" spans="9:10" ht="15.75" customHeight="1">
      <c r="I524" s="24"/>
      <c r="J524" s="25"/>
    </row>
    <row r="525" spans="9:10" ht="15.75" customHeight="1">
      <c r="I525" s="24"/>
      <c r="J525" s="25"/>
    </row>
    <row r="526" spans="9:10" ht="15.75" customHeight="1">
      <c r="I526" s="24"/>
      <c r="J526" s="25"/>
    </row>
    <row r="527" spans="9:10" ht="15.75" customHeight="1">
      <c r="I527" s="24"/>
      <c r="J527" s="25"/>
    </row>
    <row r="528" spans="9:10" ht="15.75" customHeight="1">
      <c r="I528" s="24"/>
      <c r="J528" s="25"/>
    </row>
    <row r="529" spans="9:10" ht="15.75" customHeight="1">
      <c r="I529" s="24"/>
      <c r="J529" s="25"/>
    </row>
    <row r="530" spans="9:10" ht="15.75" customHeight="1">
      <c r="I530" s="24"/>
      <c r="J530" s="25"/>
    </row>
    <row r="531" spans="9:10" ht="15.75" customHeight="1">
      <c r="I531" s="24"/>
      <c r="J531" s="25"/>
    </row>
    <row r="532" spans="9:10" ht="15.75" customHeight="1">
      <c r="I532" s="24"/>
      <c r="J532" s="25"/>
    </row>
    <row r="533" spans="9:10" ht="15.75" customHeight="1">
      <c r="I533" s="24"/>
      <c r="J533" s="25"/>
    </row>
    <row r="534" spans="9:10" ht="15.75" customHeight="1">
      <c r="I534" s="24"/>
      <c r="J534" s="25"/>
    </row>
    <row r="535" spans="9:10" ht="15.75" customHeight="1">
      <c r="I535" s="24"/>
      <c r="J535" s="25"/>
    </row>
    <row r="536" spans="9:10" ht="15.75" customHeight="1">
      <c r="I536" s="24"/>
      <c r="J536" s="25"/>
    </row>
    <row r="537" spans="9:10" ht="15.75" customHeight="1">
      <c r="I537" s="24"/>
      <c r="J537" s="25"/>
    </row>
    <row r="538" spans="9:10" ht="15.75" customHeight="1">
      <c r="I538" s="24"/>
      <c r="J538" s="25"/>
    </row>
    <row r="539" spans="9:10" ht="15.75" customHeight="1">
      <c r="I539" s="24"/>
      <c r="J539" s="25"/>
    </row>
    <row r="540" spans="9:10" ht="15.75" customHeight="1">
      <c r="I540" s="24"/>
      <c r="J540" s="25"/>
    </row>
    <row r="541" spans="9:10" ht="15.75" customHeight="1">
      <c r="I541" s="24"/>
      <c r="J541" s="25"/>
    </row>
    <row r="542" spans="9:10" ht="15.75" customHeight="1">
      <c r="I542" s="24"/>
      <c r="J542" s="25"/>
    </row>
    <row r="543" spans="9:10" ht="15.75" customHeight="1">
      <c r="I543" s="24"/>
      <c r="J543" s="25"/>
    </row>
    <row r="544" spans="9:10" ht="15.75" customHeight="1">
      <c r="I544" s="24"/>
      <c r="J544" s="25"/>
    </row>
    <row r="545" spans="9:10" ht="15.75" customHeight="1">
      <c r="I545" s="24"/>
      <c r="J545" s="25"/>
    </row>
    <row r="546" spans="9:10" ht="15.75" customHeight="1">
      <c r="I546" s="24"/>
      <c r="J546" s="25"/>
    </row>
    <row r="547" spans="9:10" ht="15.75" customHeight="1">
      <c r="I547" s="24"/>
      <c r="J547" s="25"/>
    </row>
    <row r="548" spans="9:10" ht="15.75" customHeight="1">
      <c r="I548" s="24"/>
      <c r="J548" s="25"/>
    </row>
    <row r="549" spans="9:10" ht="15.75" customHeight="1">
      <c r="I549" s="24"/>
      <c r="J549" s="25"/>
    </row>
    <row r="550" spans="9:10" ht="15.75" customHeight="1">
      <c r="I550" s="24"/>
      <c r="J550" s="25"/>
    </row>
    <row r="551" spans="9:10" ht="15.75" customHeight="1">
      <c r="I551" s="24"/>
      <c r="J551" s="25"/>
    </row>
    <row r="552" spans="9:10" ht="15.75" customHeight="1">
      <c r="I552" s="24"/>
      <c r="J552" s="25"/>
    </row>
    <row r="553" spans="9:10" ht="15.75" customHeight="1">
      <c r="I553" s="24"/>
      <c r="J553" s="25"/>
    </row>
    <row r="554" spans="9:10" ht="15.75" customHeight="1">
      <c r="I554" s="24"/>
      <c r="J554" s="25"/>
    </row>
    <row r="555" spans="9:10" ht="15.75" customHeight="1">
      <c r="I555" s="24"/>
      <c r="J555" s="25"/>
    </row>
    <row r="556" spans="9:10" ht="15.75" customHeight="1">
      <c r="I556" s="24"/>
      <c r="J556" s="25"/>
    </row>
    <row r="557" spans="9:10" ht="15.75" customHeight="1">
      <c r="I557" s="24"/>
      <c r="J557" s="25"/>
    </row>
    <row r="558" spans="9:10" ht="15.75" customHeight="1">
      <c r="I558" s="24"/>
      <c r="J558" s="25"/>
    </row>
    <row r="559" spans="9:10" ht="15.75" customHeight="1">
      <c r="I559" s="24"/>
      <c r="J559" s="25"/>
    </row>
    <row r="560" spans="9:10" ht="15.75" customHeight="1">
      <c r="I560" s="24"/>
      <c r="J560" s="25"/>
    </row>
    <row r="561" spans="9:10" ht="15.75" customHeight="1">
      <c r="I561" s="24"/>
      <c r="J561" s="25"/>
    </row>
    <row r="562" spans="9:10" ht="15.75" customHeight="1">
      <c r="I562" s="24"/>
      <c r="J562" s="25"/>
    </row>
    <row r="563" spans="9:10" ht="15.75" customHeight="1">
      <c r="I563" s="24"/>
      <c r="J563" s="25"/>
    </row>
    <row r="564" spans="9:10" ht="15.75" customHeight="1">
      <c r="I564" s="24"/>
      <c r="J564" s="25"/>
    </row>
    <row r="565" spans="9:10" ht="15.75" customHeight="1">
      <c r="I565" s="24"/>
      <c r="J565" s="25"/>
    </row>
    <row r="566" spans="9:10" ht="15.75" customHeight="1">
      <c r="I566" s="24"/>
      <c r="J566" s="25"/>
    </row>
    <row r="567" spans="9:10" ht="15.75" customHeight="1">
      <c r="I567" s="24"/>
      <c r="J567" s="25"/>
    </row>
    <row r="568" spans="9:10" ht="15.75" customHeight="1">
      <c r="I568" s="24"/>
      <c r="J568" s="25"/>
    </row>
    <row r="569" spans="9:10" ht="15.75" customHeight="1">
      <c r="I569" s="24"/>
      <c r="J569" s="25"/>
    </row>
    <row r="570" spans="9:10" ht="15.75" customHeight="1">
      <c r="I570" s="24"/>
      <c r="J570" s="25"/>
    </row>
    <row r="571" spans="9:10" ht="15.75" customHeight="1">
      <c r="I571" s="24"/>
      <c r="J571" s="25"/>
    </row>
    <row r="572" spans="9:10" ht="15.75" customHeight="1">
      <c r="I572" s="24"/>
      <c r="J572" s="25"/>
    </row>
    <row r="573" spans="9:10" ht="15.75" customHeight="1">
      <c r="I573" s="24"/>
      <c r="J573" s="25"/>
    </row>
    <row r="574" spans="9:10" ht="15.75" customHeight="1">
      <c r="I574" s="24"/>
      <c r="J574" s="25"/>
    </row>
    <row r="575" spans="9:10" ht="15.75" customHeight="1">
      <c r="I575" s="24"/>
      <c r="J575" s="25"/>
    </row>
    <row r="576" spans="9:10" ht="15.75" customHeight="1">
      <c r="I576" s="24"/>
      <c r="J576" s="25"/>
    </row>
    <row r="577" spans="9:10" ht="15.75" customHeight="1">
      <c r="I577" s="24"/>
      <c r="J577" s="25"/>
    </row>
    <row r="578" spans="9:10" ht="15.75" customHeight="1">
      <c r="I578" s="24"/>
      <c r="J578" s="25"/>
    </row>
    <row r="579" spans="9:10" ht="15.75" customHeight="1">
      <c r="I579" s="24"/>
      <c r="J579" s="25"/>
    </row>
    <row r="580" spans="9:10" ht="15.75" customHeight="1">
      <c r="I580" s="24"/>
      <c r="J580" s="25"/>
    </row>
    <row r="581" spans="9:10" ht="15.75" customHeight="1">
      <c r="I581" s="24"/>
      <c r="J581" s="25"/>
    </row>
    <row r="582" spans="9:10" ht="15.75" customHeight="1">
      <c r="I582" s="24"/>
      <c r="J582" s="25"/>
    </row>
    <row r="583" spans="9:10" ht="15.75" customHeight="1">
      <c r="I583" s="24"/>
      <c r="J583" s="25"/>
    </row>
    <row r="584" spans="9:10" ht="15.75" customHeight="1">
      <c r="I584" s="24"/>
      <c r="J584" s="25"/>
    </row>
    <row r="585" spans="9:10" ht="15.75" customHeight="1">
      <c r="I585" s="24"/>
      <c r="J585" s="25"/>
    </row>
    <row r="586" spans="9:10" ht="15.75" customHeight="1">
      <c r="I586" s="24"/>
      <c r="J586" s="25"/>
    </row>
    <row r="587" spans="9:10" ht="15.75" customHeight="1">
      <c r="I587" s="24"/>
      <c r="J587" s="25"/>
    </row>
    <row r="588" spans="9:10" ht="15.75" customHeight="1">
      <c r="I588" s="24"/>
      <c r="J588" s="25"/>
    </row>
    <row r="589" spans="9:10" ht="15.75" customHeight="1">
      <c r="I589" s="24"/>
      <c r="J589" s="25"/>
    </row>
    <row r="590" spans="9:10" ht="15.75" customHeight="1">
      <c r="I590" s="24"/>
      <c r="J590" s="25"/>
    </row>
    <row r="591" spans="9:10" ht="15.75" customHeight="1">
      <c r="I591" s="24"/>
      <c r="J591" s="25"/>
    </row>
    <row r="592" spans="9:10" ht="15.75" customHeight="1">
      <c r="I592" s="24"/>
      <c r="J592" s="25"/>
    </row>
    <row r="593" spans="9:10" ht="15.75" customHeight="1">
      <c r="I593" s="24"/>
      <c r="J593" s="25"/>
    </row>
    <row r="594" spans="9:10" ht="15.75" customHeight="1">
      <c r="I594" s="24"/>
      <c r="J594" s="25"/>
    </row>
    <row r="595" spans="9:10" ht="15.75" customHeight="1">
      <c r="I595" s="24"/>
      <c r="J595" s="25"/>
    </row>
    <row r="596" spans="9:10" ht="15.75" customHeight="1">
      <c r="I596" s="24"/>
      <c r="J596" s="25"/>
    </row>
    <row r="597" spans="9:10" ht="15.75" customHeight="1">
      <c r="I597" s="24"/>
      <c r="J597" s="25"/>
    </row>
    <row r="598" spans="9:10" ht="15.75" customHeight="1">
      <c r="I598" s="24"/>
      <c r="J598" s="25"/>
    </row>
    <row r="599" spans="9:10" ht="15.75" customHeight="1">
      <c r="I599" s="24"/>
      <c r="J599" s="25"/>
    </row>
    <row r="600" spans="9:10" ht="15.75" customHeight="1">
      <c r="I600" s="24"/>
      <c r="J600" s="25"/>
    </row>
    <row r="601" spans="9:10" ht="15.75" customHeight="1">
      <c r="I601" s="24"/>
      <c r="J601" s="25"/>
    </row>
    <row r="602" spans="9:10" ht="15.75" customHeight="1">
      <c r="I602" s="24"/>
      <c r="J602" s="25"/>
    </row>
    <row r="603" spans="9:10" ht="15.75" customHeight="1">
      <c r="I603" s="24"/>
      <c r="J603" s="25"/>
    </row>
    <row r="604" spans="9:10" ht="15.75" customHeight="1">
      <c r="I604" s="24"/>
      <c r="J604" s="25"/>
    </row>
    <row r="605" spans="9:10" ht="15.75" customHeight="1">
      <c r="I605" s="24"/>
      <c r="J605" s="25"/>
    </row>
    <row r="606" spans="9:10" ht="15.75" customHeight="1">
      <c r="I606" s="24"/>
      <c r="J606" s="25"/>
    </row>
    <row r="607" spans="9:10" ht="15.75" customHeight="1">
      <c r="I607" s="24"/>
      <c r="J607" s="25"/>
    </row>
    <row r="608" spans="9:10" ht="15.75" customHeight="1">
      <c r="I608" s="24"/>
      <c r="J608" s="25"/>
    </row>
    <row r="609" spans="9:10" ht="15.75" customHeight="1">
      <c r="I609" s="24"/>
      <c r="J609" s="25"/>
    </row>
    <row r="610" spans="9:10" ht="15.75" customHeight="1">
      <c r="I610" s="24"/>
      <c r="J610" s="25"/>
    </row>
    <row r="611" spans="9:10" ht="15.75" customHeight="1">
      <c r="I611" s="24"/>
      <c r="J611" s="25"/>
    </row>
    <row r="612" spans="9:10" ht="15.75" customHeight="1">
      <c r="I612" s="24"/>
      <c r="J612" s="25"/>
    </row>
    <row r="613" spans="9:10" ht="15.75" customHeight="1">
      <c r="I613" s="24"/>
      <c r="J613" s="25"/>
    </row>
    <row r="614" spans="9:10" ht="15.75" customHeight="1">
      <c r="I614" s="24"/>
      <c r="J614" s="25"/>
    </row>
    <row r="615" spans="9:10" ht="15.75" customHeight="1">
      <c r="I615" s="24"/>
      <c r="J615" s="25"/>
    </row>
    <row r="616" spans="9:10" ht="15.75" customHeight="1">
      <c r="I616" s="24"/>
      <c r="J616" s="25"/>
    </row>
    <row r="617" spans="9:10" ht="15.75" customHeight="1">
      <c r="I617" s="24"/>
      <c r="J617" s="25"/>
    </row>
    <row r="618" spans="9:10" ht="15.75" customHeight="1">
      <c r="I618" s="24"/>
      <c r="J618" s="25"/>
    </row>
    <row r="619" spans="9:10" ht="15.75" customHeight="1">
      <c r="I619" s="24"/>
      <c r="J619" s="25"/>
    </row>
    <row r="620" spans="9:10" ht="15.75" customHeight="1">
      <c r="I620" s="24"/>
      <c r="J620" s="25"/>
    </row>
    <row r="621" spans="9:10" ht="15.75" customHeight="1">
      <c r="I621" s="24"/>
      <c r="J621" s="25"/>
    </row>
    <row r="622" spans="9:10" ht="15.75" customHeight="1">
      <c r="I622" s="24"/>
      <c r="J622" s="25"/>
    </row>
    <row r="623" spans="9:10" ht="15.75" customHeight="1">
      <c r="I623" s="24"/>
      <c r="J623" s="25"/>
    </row>
    <row r="624" spans="9:10" ht="15.75" customHeight="1">
      <c r="I624" s="24"/>
      <c r="J624" s="25"/>
    </row>
    <row r="625" spans="9:10" ht="15.75" customHeight="1">
      <c r="I625" s="24"/>
      <c r="J625" s="25"/>
    </row>
    <row r="626" spans="9:10" ht="15.75" customHeight="1">
      <c r="I626" s="24"/>
      <c r="J626" s="25"/>
    </row>
    <row r="627" spans="9:10" ht="15.75" customHeight="1">
      <c r="I627" s="24"/>
      <c r="J627" s="25"/>
    </row>
    <row r="628" spans="9:10" ht="15.75" customHeight="1">
      <c r="I628" s="24"/>
      <c r="J628" s="25"/>
    </row>
    <row r="629" spans="9:10" ht="15.75" customHeight="1">
      <c r="I629" s="24"/>
      <c r="J629" s="25"/>
    </row>
    <row r="630" spans="9:10" ht="15.75" customHeight="1">
      <c r="I630" s="24"/>
      <c r="J630" s="25"/>
    </row>
    <row r="631" spans="9:10" ht="15.75" customHeight="1">
      <c r="I631" s="24"/>
      <c r="J631" s="25"/>
    </row>
    <row r="632" spans="9:10" ht="15.75" customHeight="1">
      <c r="I632" s="24"/>
      <c r="J632" s="25"/>
    </row>
    <row r="633" spans="9:10" ht="15.75" customHeight="1">
      <c r="I633" s="24"/>
      <c r="J633" s="25"/>
    </row>
    <row r="634" spans="9:10" ht="15.75" customHeight="1">
      <c r="I634" s="24"/>
      <c r="J634" s="25"/>
    </row>
    <row r="635" spans="9:10" ht="15.75" customHeight="1">
      <c r="I635" s="24"/>
      <c r="J635" s="25"/>
    </row>
    <row r="636" spans="9:10" ht="15.75" customHeight="1">
      <c r="I636" s="24"/>
      <c r="J636" s="25"/>
    </row>
    <row r="637" spans="9:10" ht="15.75" customHeight="1">
      <c r="I637" s="24"/>
      <c r="J637" s="25"/>
    </row>
    <row r="638" spans="9:10" ht="15.75" customHeight="1">
      <c r="I638" s="24"/>
      <c r="J638" s="25"/>
    </row>
    <row r="639" spans="9:10" ht="15.75" customHeight="1">
      <c r="I639" s="24"/>
      <c r="J639" s="25"/>
    </row>
    <row r="640" spans="9:10" ht="15.75" customHeight="1">
      <c r="I640" s="24"/>
      <c r="J640" s="25"/>
    </row>
    <row r="641" spans="9:10" ht="15.75" customHeight="1">
      <c r="I641" s="24"/>
      <c r="J641" s="25"/>
    </row>
    <row r="642" spans="9:10" ht="15.75" customHeight="1">
      <c r="I642" s="24"/>
      <c r="J642" s="25"/>
    </row>
    <row r="643" spans="9:10" ht="15.75" customHeight="1">
      <c r="I643" s="24"/>
      <c r="J643" s="25"/>
    </row>
    <row r="644" spans="9:10" ht="15.75" customHeight="1">
      <c r="I644" s="24"/>
      <c r="J644" s="25"/>
    </row>
    <row r="645" spans="9:10" ht="15.75" customHeight="1">
      <c r="I645" s="24"/>
      <c r="J645" s="25"/>
    </row>
    <row r="646" spans="9:10" ht="15.75" customHeight="1">
      <c r="I646" s="24"/>
      <c r="J646" s="25"/>
    </row>
    <row r="647" spans="9:10" ht="15.75" customHeight="1">
      <c r="I647" s="24"/>
      <c r="J647" s="25"/>
    </row>
    <row r="648" spans="9:10" ht="15.75" customHeight="1">
      <c r="I648" s="24"/>
      <c r="J648" s="25"/>
    </row>
    <row r="649" spans="9:10" ht="15.75" customHeight="1">
      <c r="I649" s="24"/>
      <c r="J649" s="25"/>
    </row>
    <row r="650" spans="9:10" ht="15.75" customHeight="1">
      <c r="I650" s="24"/>
      <c r="J650" s="25"/>
    </row>
    <row r="651" spans="9:10" ht="15.75" customHeight="1">
      <c r="I651" s="24"/>
      <c r="J651" s="25"/>
    </row>
    <row r="652" spans="9:10" ht="15.75" customHeight="1">
      <c r="I652" s="24"/>
      <c r="J652" s="25"/>
    </row>
    <row r="653" spans="9:10" ht="15.75" customHeight="1">
      <c r="I653" s="24"/>
      <c r="J653" s="25"/>
    </row>
    <row r="654" spans="9:10" ht="15.75" customHeight="1">
      <c r="I654" s="24"/>
      <c r="J654" s="25"/>
    </row>
    <row r="655" spans="9:10" ht="15.75" customHeight="1">
      <c r="I655" s="24"/>
      <c r="J655" s="25"/>
    </row>
    <row r="656" spans="9:10" ht="15.75" customHeight="1">
      <c r="I656" s="24"/>
      <c r="J656" s="25"/>
    </row>
    <row r="657" spans="9:10" ht="15.75" customHeight="1">
      <c r="I657" s="24"/>
      <c r="J657" s="25"/>
    </row>
    <row r="658" spans="9:10" ht="15.75" customHeight="1">
      <c r="I658" s="24"/>
      <c r="J658" s="25"/>
    </row>
    <row r="659" spans="9:10" ht="15.75" customHeight="1">
      <c r="I659" s="24"/>
      <c r="J659" s="25"/>
    </row>
    <row r="660" spans="9:10" ht="15.75" customHeight="1">
      <c r="I660" s="24"/>
      <c r="J660" s="25"/>
    </row>
    <row r="661" spans="9:10" ht="15.75" customHeight="1">
      <c r="I661" s="24"/>
      <c r="J661" s="25"/>
    </row>
    <row r="662" spans="9:10" ht="15.75" customHeight="1">
      <c r="I662" s="24"/>
      <c r="J662" s="25"/>
    </row>
    <row r="663" spans="9:10" ht="15.75" customHeight="1">
      <c r="I663" s="24"/>
      <c r="J663" s="25"/>
    </row>
    <row r="664" spans="9:10" ht="15.75" customHeight="1">
      <c r="I664" s="24"/>
      <c r="J664" s="25"/>
    </row>
    <row r="665" spans="9:10" ht="15.75" customHeight="1">
      <c r="I665" s="24"/>
      <c r="J665" s="25"/>
    </row>
    <row r="666" spans="9:10" ht="15.75" customHeight="1">
      <c r="I666" s="24"/>
      <c r="J666" s="25"/>
    </row>
    <row r="667" spans="9:10" ht="15.75" customHeight="1">
      <c r="I667" s="24"/>
      <c r="J667" s="25"/>
    </row>
    <row r="668" spans="9:10" ht="15.75" customHeight="1">
      <c r="I668" s="24"/>
      <c r="J668" s="25"/>
    </row>
    <row r="669" spans="9:10" ht="15.75" customHeight="1">
      <c r="I669" s="24"/>
      <c r="J669" s="25"/>
    </row>
    <row r="670" spans="9:10" ht="15.75" customHeight="1">
      <c r="I670" s="24"/>
      <c r="J670" s="25"/>
    </row>
    <row r="671" spans="9:10" ht="15.75" customHeight="1">
      <c r="I671" s="24"/>
      <c r="J671" s="25"/>
    </row>
    <row r="672" spans="9:10" ht="15.75" customHeight="1">
      <c r="I672" s="24"/>
      <c r="J672" s="25"/>
    </row>
    <row r="673" spans="9:10" ht="15.75" customHeight="1">
      <c r="I673" s="24"/>
      <c r="J673" s="25"/>
    </row>
    <row r="674" spans="9:10" ht="15.75" customHeight="1">
      <c r="I674" s="24"/>
      <c r="J674" s="25"/>
    </row>
    <row r="675" spans="9:10" ht="15.75" customHeight="1">
      <c r="I675" s="24"/>
      <c r="J675" s="25"/>
    </row>
    <row r="676" spans="9:10" ht="15.75" customHeight="1">
      <c r="I676" s="24"/>
      <c r="J676" s="25"/>
    </row>
    <row r="677" spans="9:10" ht="15.75" customHeight="1">
      <c r="I677" s="24"/>
      <c r="J677" s="25"/>
    </row>
    <row r="678" spans="9:10" ht="15.75" customHeight="1">
      <c r="I678" s="24"/>
      <c r="J678" s="25"/>
    </row>
    <row r="679" spans="9:10" ht="15.75" customHeight="1">
      <c r="I679" s="24"/>
      <c r="J679" s="25"/>
    </row>
    <row r="680" spans="9:10" ht="15.75" customHeight="1">
      <c r="I680" s="24"/>
      <c r="J680" s="25"/>
    </row>
    <row r="681" spans="9:10" ht="15.75" customHeight="1">
      <c r="I681" s="24"/>
      <c r="J681" s="25"/>
    </row>
    <row r="682" spans="9:10" ht="15.75" customHeight="1">
      <c r="I682" s="24"/>
      <c r="J682" s="25"/>
    </row>
    <row r="683" spans="9:10" ht="15.75" customHeight="1">
      <c r="I683" s="24"/>
      <c r="J683" s="25"/>
    </row>
    <row r="684" spans="9:10" ht="15.75" customHeight="1">
      <c r="I684" s="24"/>
      <c r="J684" s="25"/>
    </row>
    <row r="685" spans="9:10" ht="15.75" customHeight="1">
      <c r="I685" s="24"/>
      <c r="J685" s="25"/>
    </row>
    <row r="686" spans="9:10" ht="15.75" customHeight="1">
      <c r="I686" s="24"/>
      <c r="J686" s="25"/>
    </row>
    <row r="687" spans="9:10" ht="15.75" customHeight="1">
      <c r="I687" s="24"/>
      <c r="J687" s="25"/>
    </row>
    <row r="688" spans="9:10" ht="15.75" customHeight="1">
      <c r="I688" s="24"/>
      <c r="J688" s="25"/>
    </row>
    <row r="689" spans="9:10" ht="15.75" customHeight="1">
      <c r="I689" s="24"/>
      <c r="J689" s="25"/>
    </row>
    <row r="690" spans="9:10" ht="15.75" customHeight="1">
      <c r="I690" s="24"/>
      <c r="J690" s="25"/>
    </row>
    <row r="691" spans="9:10" ht="15.75" customHeight="1">
      <c r="I691" s="24"/>
      <c r="J691" s="25"/>
    </row>
    <row r="692" spans="9:10" ht="15.75" customHeight="1">
      <c r="I692" s="24"/>
      <c r="J692" s="25"/>
    </row>
    <row r="693" spans="9:10" ht="15.75" customHeight="1">
      <c r="I693" s="24"/>
      <c r="J693" s="25"/>
    </row>
    <row r="694" spans="9:10" ht="15.75" customHeight="1">
      <c r="I694" s="24"/>
      <c r="J694" s="25"/>
    </row>
    <row r="695" spans="9:10" ht="15.75" customHeight="1">
      <c r="I695" s="24"/>
      <c r="J695" s="25"/>
    </row>
    <row r="696" spans="9:10" ht="15.75" customHeight="1">
      <c r="I696" s="24"/>
      <c r="J696" s="25"/>
    </row>
    <row r="697" spans="9:10" ht="15.75" customHeight="1">
      <c r="I697" s="24"/>
      <c r="J697" s="25"/>
    </row>
    <row r="698" spans="9:10" ht="15.75" customHeight="1">
      <c r="I698" s="24"/>
      <c r="J698" s="25"/>
    </row>
    <row r="699" spans="9:10" ht="15.75" customHeight="1">
      <c r="I699" s="24"/>
      <c r="J699" s="25"/>
    </row>
    <row r="700" spans="9:10" ht="15.75" customHeight="1">
      <c r="I700" s="24"/>
      <c r="J700" s="25"/>
    </row>
    <row r="701" spans="9:10" ht="15.75" customHeight="1">
      <c r="I701" s="24"/>
      <c r="J701" s="25"/>
    </row>
    <row r="702" spans="9:10" ht="15.75" customHeight="1">
      <c r="I702" s="24"/>
      <c r="J702" s="25"/>
    </row>
    <row r="703" spans="9:10" ht="15.75" customHeight="1">
      <c r="I703" s="24"/>
      <c r="J703" s="25"/>
    </row>
    <row r="704" spans="9:10" ht="15.75" customHeight="1">
      <c r="I704" s="24"/>
      <c r="J704" s="25"/>
    </row>
    <row r="705" spans="9:10" ht="15.75" customHeight="1">
      <c r="I705" s="24"/>
      <c r="J705" s="25"/>
    </row>
    <row r="706" spans="9:10" ht="15.75" customHeight="1">
      <c r="I706" s="24"/>
      <c r="J706" s="25"/>
    </row>
    <row r="707" spans="9:10" ht="15.75" customHeight="1">
      <c r="I707" s="24"/>
      <c r="J707" s="25"/>
    </row>
    <row r="708" spans="9:10" ht="15.75" customHeight="1">
      <c r="I708" s="24"/>
      <c r="J708" s="25"/>
    </row>
    <row r="709" spans="9:10" ht="15.75" customHeight="1">
      <c r="I709" s="24"/>
      <c r="J709" s="25"/>
    </row>
    <row r="710" spans="9:10" ht="15.75" customHeight="1">
      <c r="I710" s="24"/>
      <c r="J710" s="25"/>
    </row>
    <row r="711" spans="9:10" ht="15.75" customHeight="1">
      <c r="I711" s="24"/>
      <c r="J711" s="25"/>
    </row>
    <row r="712" spans="9:10" ht="15.75" customHeight="1">
      <c r="I712" s="24"/>
      <c r="J712" s="25"/>
    </row>
    <row r="713" spans="9:10" ht="15.75" customHeight="1">
      <c r="I713" s="24"/>
      <c r="J713" s="25"/>
    </row>
    <row r="714" spans="9:10" ht="15.75" customHeight="1">
      <c r="I714" s="24"/>
      <c r="J714" s="25"/>
    </row>
    <row r="715" spans="9:10" ht="15.75" customHeight="1">
      <c r="I715" s="24"/>
      <c r="J715" s="25"/>
    </row>
    <row r="716" spans="9:10" ht="15.75" customHeight="1">
      <c r="I716" s="24"/>
      <c r="J716" s="25"/>
    </row>
    <row r="717" spans="9:10" ht="15.75" customHeight="1">
      <c r="I717" s="24"/>
      <c r="J717" s="25"/>
    </row>
    <row r="718" spans="9:10" ht="15.75" customHeight="1">
      <c r="I718" s="24"/>
      <c r="J718" s="25"/>
    </row>
    <row r="719" spans="9:10" ht="15.75" customHeight="1">
      <c r="I719" s="24"/>
      <c r="J719" s="25"/>
    </row>
    <row r="720" spans="9:10" ht="15.75" customHeight="1">
      <c r="I720" s="24"/>
      <c r="J720" s="25"/>
    </row>
    <row r="721" spans="9:10" ht="15.75" customHeight="1">
      <c r="I721" s="24"/>
      <c r="J721" s="25"/>
    </row>
    <row r="722" spans="9:10" ht="15.75" customHeight="1">
      <c r="I722" s="24"/>
      <c r="J722" s="25"/>
    </row>
    <row r="723" spans="9:10" ht="15.75" customHeight="1">
      <c r="I723" s="24"/>
      <c r="J723" s="25"/>
    </row>
    <row r="724" spans="9:10" ht="15.75" customHeight="1">
      <c r="I724" s="24"/>
      <c r="J724" s="25"/>
    </row>
    <row r="725" spans="9:10" ht="15.75" customHeight="1">
      <c r="I725" s="24"/>
      <c r="J725" s="25"/>
    </row>
    <row r="726" spans="9:10" ht="15.75" customHeight="1">
      <c r="I726" s="24"/>
      <c r="J726" s="25"/>
    </row>
    <row r="727" spans="9:10" ht="15.75" customHeight="1">
      <c r="I727" s="24"/>
      <c r="J727" s="25"/>
    </row>
    <row r="728" spans="9:10" ht="15.75" customHeight="1">
      <c r="I728" s="24"/>
      <c r="J728" s="25"/>
    </row>
    <row r="729" spans="9:10" ht="15.75" customHeight="1">
      <c r="I729" s="24"/>
      <c r="J729" s="25"/>
    </row>
    <row r="730" spans="9:10" ht="15.75" customHeight="1">
      <c r="I730" s="24"/>
      <c r="J730" s="25"/>
    </row>
    <row r="731" spans="9:10" ht="15.75" customHeight="1">
      <c r="I731" s="24"/>
      <c r="J731" s="25"/>
    </row>
    <row r="732" spans="9:10" ht="15.75" customHeight="1">
      <c r="I732" s="24"/>
      <c r="J732" s="25"/>
    </row>
    <row r="733" spans="9:10" ht="15.75" customHeight="1">
      <c r="I733" s="24"/>
      <c r="J733" s="25"/>
    </row>
    <row r="734" spans="9:10" ht="15.75" customHeight="1">
      <c r="I734" s="24"/>
      <c r="J734" s="25"/>
    </row>
    <row r="735" spans="9:10" ht="15.75" customHeight="1">
      <c r="I735" s="24"/>
      <c r="J735" s="25"/>
    </row>
    <row r="736" spans="9:10" ht="15.75" customHeight="1">
      <c r="I736" s="24"/>
      <c r="J736" s="25"/>
    </row>
    <row r="737" spans="9:10" ht="15.75" customHeight="1">
      <c r="I737" s="24"/>
      <c r="J737" s="25"/>
    </row>
    <row r="738" spans="9:10" ht="15.75" customHeight="1">
      <c r="I738" s="24"/>
      <c r="J738" s="25"/>
    </row>
    <row r="739" spans="9:10" ht="15.75" customHeight="1">
      <c r="I739" s="24"/>
      <c r="J739" s="25"/>
    </row>
    <row r="740" spans="9:10" ht="15.75" customHeight="1">
      <c r="I740" s="24"/>
      <c r="J740" s="25"/>
    </row>
    <row r="741" spans="9:10" ht="15.75" customHeight="1">
      <c r="I741" s="24"/>
      <c r="J741" s="25"/>
    </row>
    <row r="742" spans="9:10" ht="15.75" customHeight="1">
      <c r="I742" s="24"/>
      <c r="J742" s="25"/>
    </row>
    <row r="743" spans="9:10" ht="15.75" customHeight="1">
      <c r="I743" s="24"/>
      <c r="J743" s="25"/>
    </row>
    <row r="744" spans="9:10" ht="15.75" customHeight="1">
      <c r="I744" s="24"/>
      <c r="J744" s="25"/>
    </row>
    <row r="745" spans="9:10" ht="15.75" customHeight="1">
      <c r="I745" s="24"/>
      <c r="J745" s="25"/>
    </row>
    <row r="746" spans="9:10" ht="15.75" customHeight="1">
      <c r="I746" s="24"/>
      <c r="J746" s="25"/>
    </row>
    <row r="747" spans="9:10" ht="15.75" customHeight="1">
      <c r="I747" s="24"/>
      <c r="J747" s="25"/>
    </row>
    <row r="748" spans="9:10" ht="15.75" customHeight="1">
      <c r="I748" s="24"/>
      <c r="J748" s="25"/>
    </row>
    <row r="749" spans="9:10" ht="15.75" customHeight="1">
      <c r="I749" s="24"/>
      <c r="J749" s="25"/>
    </row>
    <row r="750" spans="9:10" ht="15.75" customHeight="1">
      <c r="I750" s="24"/>
      <c r="J750" s="25"/>
    </row>
    <row r="751" spans="9:10" ht="15.75" customHeight="1">
      <c r="I751" s="24"/>
      <c r="J751" s="25"/>
    </row>
    <row r="752" spans="9:10" ht="15.75" customHeight="1">
      <c r="I752" s="24"/>
      <c r="J752" s="25"/>
    </row>
    <row r="753" spans="9:10" ht="15.75" customHeight="1">
      <c r="I753" s="24"/>
      <c r="J753" s="25"/>
    </row>
    <row r="754" spans="9:10" ht="15.75" customHeight="1">
      <c r="I754" s="24"/>
      <c r="J754" s="25"/>
    </row>
    <row r="755" spans="9:10" ht="15.75" customHeight="1">
      <c r="I755" s="24"/>
      <c r="J755" s="25"/>
    </row>
    <row r="756" spans="9:10" ht="15.75" customHeight="1">
      <c r="I756" s="24"/>
      <c r="J756" s="25"/>
    </row>
    <row r="757" spans="9:10" ht="15.75" customHeight="1">
      <c r="I757" s="24"/>
      <c r="J757" s="25"/>
    </row>
    <row r="758" spans="9:10" ht="15.75" customHeight="1">
      <c r="I758" s="24"/>
      <c r="J758" s="25"/>
    </row>
    <row r="759" spans="9:10" ht="15.75" customHeight="1">
      <c r="I759" s="24"/>
      <c r="J759" s="25"/>
    </row>
    <row r="760" spans="9:10" ht="15.75" customHeight="1">
      <c r="I760" s="24"/>
      <c r="J760" s="25"/>
    </row>
    <row r="761" spans="9:10" ht="15.75" customHeight="1">
      <c r="I761" s="24"/>
      <c r="J761" s="25"/>
    </row>
    <row r="762" spans="9:10" ht="15.75" customHeight="1">
      <c r="I762" s="24"/>
      <c r="J762" s="25"/>
    </row>
    <row r="763" spans="9:10" ht="15.75" customHeight="1">
      <c r="I763" s="24"/>
      <c r="J763" s="25"/>
    </row>
    <row r="764" spans="9:10" ht="15.75" customHeight="1">
      <c r="I764" s="24"/>
      <c r="J764" s="25"/>
    </row>
    <row r="765" spans="9:10" ht="15.75" customHeight="1">
      <c r="I765" s="24"/>
      <c r="J765" s="25"/>
    </row>
    <row r="766" spans="9:10" ht="15.75" customHeight="1">
      <c r="I766" s="24"/>
      <c r="J766" s="25"/>
    </row>
    <row r="767" spans="9:10" ht="15.75" customHeight="1">
      <c r="I767" s="24"/>
      <c r="J767" s="25"/>
    </row>
    <row r="768" spans="9:10" ht="15.75" customHeight="1">
      <c r="I768" s="24"/>
      <c r="J768" s="25"/>
    </row>
    <row r="769" spans="9:10" ht="15.75" customHeight="1">
      <c r="I769" s="24"/>
      <c r="J769" s="25"/>
    </row>
    <row r="770" spans="9:10" ht="15.75" customHeight="1">
      <c r="I770" s="24"/>
      <c r="J770" s="25"/>
    </row>
    <row r="771" spans="9:10" ht="15.75" customHeight="1">
      <c r="I771" s="24"/>
      <c r="J771" s="25"/>
    </row>
    <row r="772" spans="9:10" ht="15.75" customHeight="1">
      <c r="I772" s="24"/>
      <c r="J772" s="25"/>
    </row>
    <row r="773" spans="9:10" ht="15.75" customHeight="1">
      <c r="I773" s="24"/>
      <c r="J773" s="25"/>
    </row>
    <row r="774" spans="9:10" ht="15.75" customHeight="1">
      <c r="I774" s="24"/>
      <c r="J774" s="25"/>
    </row>
    <row r="775" spans="9:10" ht="15.75" customHeight="1">
      <c r="I775" s="24"/>
      <c r="J775" s="25"/>
    </row>
    <row r="776" spans="9:10" ht="15.75" customHeight="1">
      <c r="I776" s="24"/>
      <c r="J776" s="25"/>
    </row>
    <row r="777" spans="9:10" ht="15.75" customHeight="1">
      <c r="I777" s="24"/>
      <c r="J777" s="25"/>
    </row>
    <row r="778" spans="9:10" ht="15.75" customHeight="1">
      <c r="I778" s="24"/>
      <c r="J778" s="25"/>
    </row>
    <row r="779" spans="9:10" ht="15.75" customHeight="1">
      <c r="I779" s="24"/>
      <c r="J779" s="25"/>
    </row>
    <row r="780" spans="9:10" ht="15.75" customHeight="1">
      <c r="I780" s="24"/>
      <c r="J780" s="25"/>
    </row>
    <row r="781" spans="9:10" ht="15.75" customHeight="1">
      <c r="I781" s="24"/>
      <c r="J781" s="25"/>
    </row>
    <row r="782" spans="9:10" ht="15.75" customHeight="1">
      <c r="I782" s="24"/>
      <c r="J782" s="25"/>
    </row>
    <row r="783" spans="9:10" ht="15.75" customHeight="1">
      <c r="I783" s="24"/>
      <c r="J783" s="25"/>
    </row>
    <row r="784" spans="9:10" ht="15.75" customHeight="1">
      <c r="I784" s="24"/>
      <c r="J784" s="25"/>
    </row>
    <row r="785" spans="9:10" ht="15.75" customHeight="1">
      <c r="I785" s="24"/>
      <c r="J785" s="25"/>
    </row>
    <row r="786" spans="9:10" ht="15.75" customHeight="1">
      <c r="I786" s="24"/>
      <c r="J786" s="25"/>
    </row>
    <row r="787" spans="9:10" ht="15.75" customHeight="1">
      <c r="I787" s="24"/>
      <c r="J787" s="25"/>
    </row>
    <row r="788" spans="9:10" ht="15.75" customHeight="1">
      <c r="I788" s="24"/>
      <c r="J788" s="25"/>
    </row>
    <row r="789" spans="9:10" ht="15.75" customHeight="1">
      <c r="I789" s="24"/>
      <c r="J789" s="25"/>
    </row>
    <row r="790" spans="9:10" ht="15.75" customHeight="1">
      <c r="I790" s="24"/>
      <c r="J790" s="25"/>
    </row>
    <row r="791" spans="9:10" ht="15.75" customHeight="1">
      <c r="I791" s="24"/>
      <c r="J791" s="25"/>
    </row>
    <row r="792" spans="9:10" ht="15.75" customHeight="1">
      <c r="I792" s="24"/>
      <c r="J792" s="25"/>
    </row>
    <row r="793" spans="9:10" ht="15.75" customHeight="1">
      <c r="I793" s="24"/>
      <c r="J793" s="25"/>
    </row>
    <row r="794" spans="9:10" ht="15.75" customHeight="1">
      <c r="I794" s="24"/>
      <c r="J794" s="25"/>
    </row>
    <row r="795" spans="9:10" ht="15.75" customHeight="1">
      <c r="I795" s="24"/>
      <c r="J795" s="25"/>
    </row>
    <row r="796" spans="9:10" ht="15.75" customHeight="1">
      <c r="I796" s="24"/>
      <c r="J796" s="25"/>
    </row>
    <row r="797" spans="9:10" ht="15.75" customHeight="1">
      <c r="I797" s="24"/>
      <c r="J797" s="25"/>
    </row>
    <row r="798" spans="9:10" ht="15.75" customHeight="1">
      <c r="I798" s="24"/>
      <c r="J798" s="25"/>
    </row>
    <row r="799" spans="9:10" ht="15.75" customHeight="1">
      <c r="I799" s="24"/>
      <c r="J799" s="25"/>
    </row>
    <row r="800" spans="9:10" ht="15.75" customHeight="1">
      <c r="I800" s="24"/>
      <c r="J800" s="25"/>
    </row>
    <row r="801" spans="9:10" ht="15.75" customHeight="1">
      <c r="I801" s="24"/>
      <c r="J801" s="25"/>
    </row>
    <row r="802" spans="9:10" ht="15.75" customHeight="1">
      <c r="I802" s="24"/>
      <c r="J802" s="25"/>
    </row>
    <row r="803" spans="9:10" ht="15.75" customHeight="1">
      <c r="I803" s="24"/>
      <c r="J803" s="25"/>
    </row>
    <row r="804" spans="9:10" ht="15.75" customHeight="1">
      <c r="I804" s="24"/>
      <c r="J804" s="25"/>
    </row>
    <row r="805" spans="9:10" ht="15.75" customHeight="1">
      <c r="I805" s="24"/>
      <c r="J805" s="25"/>
    </row>
    <row r="806" spans="9:10" ht="15.75" customHeight="1">
      <c r="I806" s="24"/>
      <c r="J806" s="25"/>
    </row>
    <row r="807" spans="9:10" ht="15.75" customHeight="1">
      <c r="I807" s="24"/>
      <c r="J807" s="25"/>
    </row>
    <row r="808" spans="9:10" ht="15.75" customHeight="1">
      <c r="I808" s="24"/>
      <c r="J808" s="25"/>
    </row>
    <row r="809" spans="9:10" ht="15.75" customHeight="1">
      <c r="I809" s="24"/>
      <c r="J809" s="25"/>
    </row>
    <row r="810" spans="9:10" ht="15.75" customHeight="1">
      <c r="I810" s="24"/>
      <c r="J810" s="25"/>
    </row>
    <row r="811" spans="9:10" ht="15.75" customHeight="1">
      <c r="I811" s="24"/>
      <c r="J811" s="25"/>
    </row>
    <row r="812" spans="9:10" ht="15.75" customHeight="1">
      <c r="I812" s="24"/>
      <c r="J812" s="25"/>
    </row>
    <row r="813" spans="9:10" ht="15.75" customHeight="1">
      <c r="I813" s="24"/>
      <c r="J813" s="25"/>
    </row>
    <row r="814" spans="9:10" ht="15.75" customHeight="1">
      <c r="I814" s="24"/>
      <c r="J814" s="25"/>
    </row>
    <row r="815" spans="9:10" ht="15.75" customHeight="1">
      <c r="I815" s="24"/>
      <c r="J815" s="25"/>
    </row>
    <row r="816" spans="9:10" ht="15.75" customHeight="1">
      <c r="I816" s="24"/>
      <c r="J816" s="25"/>
    </row>
    <row r="817" spans="9:10" ht="15.75" customHeight="1">
      <c r="I817" s="24"/>
      <c r="J817" s="25"/>
    </row>
    <row r="818" spans="9:10" ht="15.75" customHeight="1">
      <c r="I818" s="24"/>
      <c r="J818" s="25"/>
    </row>
    <row r="819" spans="9:10" ht="15.75" customHeight="1">
      <c r="I819" s="24"/>
      <c r="J819" s="25"/>
    </row>
    <row r="820" spans="9:10" ht="15.75" customHeight="1">
      <c r="I820" s="24"/>
      <c r="J820" s="25"/>
    </row>
    <row r="821" spans="9:10" ht="15.75" customHeight="1">
      <c r="I821" s="24"/>
      <c r="J821" s="25"/>
    </row>
    <row r="822" spans="9:10" ht="15.75" customHeight="1">
      <c r="I822" s="24"/>
      <c r="J822" s="25"/>
    </row>
    <row r="823" spans="9:10" ht="15.75" customHeight="1">
      <c r="I823" s="24"/>
      <c r="J823" s="25"/>
    </row>
    <row r="824" spans="9:10" ht="15.75" customHeight="1">
      <c r="I824" s="24"/>
      <c r="J824" s="25"/>
    </row>
    <row r="825" spans="9:10" ht="15.75" customHeight="1">
      <c r="I825" s="24"/>
      <c r="J825" s="25"/>
    </row>
    <row r="826" spans="9:10" ht="15.75" customHeight="1">
      <c r="I826" s="24"/>
      <c r="J826" s="25"/>
    </row>
    <row r="827" spans="9:10" ht="15.75" customHeight="1">
      <c r="I827" s="24"/>
      <c r="J827" s="25"/>
    </row>
    <row r="828" spans="9:10" ht="15.75" customHeight="1">
      <c r="I828" s="24"/>
      <c r="J828" s="25"/>
    </row>
    <row r="829" spans="9:10" ht="15.75" customHeight="1">
      <c r="I829" s="24"/>
      <c r="J829" s="25"/>
    </row>
    <row r="830" spans="9:10" ht="15.75" customHeight="1">
      <c r="I830" s="24"/>
      <c r="J830" s="25"/>
    </row>
    <row r="831" spans="9:10" ht="15.75" customHeight="1">
      <c r="I831" s="24"/>
      <c r="J831" s="25"/>
    </row>
    <row r="832" spans="9:10" ht="15.75" customHeight="1">
      <c r="I832" s="24"/>
      <c r="J832" s="25"/>
    </row>
    <row r="833" spans="9:10" ht="15.75" customHeight="1">
      <c r="I833" s="24"/>
      <c r="J833" s="25"/>
    </row>
    <row r="834" spans="9:10" ht="15.75" customHeight="1">
      <c r="I834" s="24"/>
      <c r="J834" s="25"/>
    </row>
    <row r="835" spans="9:10" ht="15.75" customHeight="1">
      <c r="I835" s="24"/>
      <c r="J835" s="25"/>
    </row>
    <row r="836" spans="9:10" ht="15.75" customHeight="1">
      <c r="I836" s="24"/>
      <c r="J836" s="25"/>
    </row>
    <row r="837" spans="9:10" ht="15.75" customHeight="1">
      <c r="I837" s="24"/>
      <c r="J837" s="25"/>
    </row>
    <row r="838" spans="9:10" ht="15.75" customHeight="1">
      <c r="I838" s="24"/>
      <c r="J838" s="25"/>
    </row>
    <row r="839" spans="9:10" ht="15.75" customHeight="1">
      <c r="I839" s="24"/>
      <c r="J839" s="25"/>
    </row>
    <row r="840" spans="9:10" ht="15.75" customHeight="1">
      <c r="I840" s="24"/>
      <c r="J840" s="25"/>
    </row>
    <row r="841" spans="9:10" ht="15.75" customHeight="1">
      <c r="I841" s="24"/>
      <c r="J841" s="25"/>
    </row>
    <row r="842" spans="9:10" ht="15.75" customHeight="1">
      <c r="I842" s="24"/>
      <c r="J842" s="25"/>
    </row>
    <row r="843" spans="9:10" ht="15.75" customHeight="1">
      <c r="I843" s="24"/>
      <c r="J843" s="25"/>
    </row>
    <row r="844" spans="9:10" ht="15.75" customHeight="1">
      <c r="I844" s="24"/>
      <c r="J844" s="25"/>
    </row>
    <row r="845" spans="9:10" ht="15.75" customHeight="1">
      <c r="I845" s="24"/>
      <c r="J845" s="25"/>
    </row>
    <row r="846" spans="9:10" ht="15.75" customHeight="1">
      <c r="I846" s="24"/>
      <c r="J846" s="25"/>
    </row>
    <row r="847" spans="9:10" ht="15.75" customHeight="1">
      <c r="I847" s="24"/>
      <c r="J847" s="25"/>
    </row>
    <row r="848" spans="9:10" ht="15.75" customHeight="1">
      <c r="I848" s="24"/>
      <c r="J848" s="25"/>
    </row>
    <row r="849" spans="9:10" ht="15.75" customHeight="1">
      <c r="I849" s="24"/>
      <c r="J849" s="25"/>
    </row>
    <row r="850" spans="9:10" ht="15.75" customHeight="1">
      <c r="I850" s="24"/>
      <c r="J850" s="25"/>
    </row>
    <row r="851" spans="9:10" ht="15.75" customHeight="1">
      <c r="I851" s="24"/>
      <c r="J851" s="25"/>
    </row>
    <row r="852" spans="9:10" ht="15.75" customHeight="1">
      <c r="I852" s="24"/>
      <c r="J852" s="25"/>
    </row>
    <row r="853" spans="9:10" ht="15.75" customHeight="1">
      <c r="I853" s="24"/>
      <c r="J853" s="25"/>
    </row>
    <row r="854" spans="9:10" ht="15.75" customHeight="1">
      <c r="I854" s="24"/>
      <c r="J854" s="25"/>
    </row>
    <row r="855" spans="9:10" ht="15.75" customHeight="1">
      <c r="I855" s="24"/>
      <c r="J855" s="25"/>
    </row>
    <row r="856" spans="9:10" ht="15.75" customHeight="1">
      <c r="I856" s="24"/>
      <c r="J856" s="25"/>
    </row>
    <row r="857" spans="9:10" ht="15.75" customHeight="1">
      <c r="I857" s="24"/>
      <c r="J857" s="25"/>
    </row>
    <row r="858" spans="9:10" ht="15.75" customHeight="1">
      <c r="I858" s="24"/>
      <c r="J858" s="25"/>
    </row>
    <row r="859" spans="9:10" ht="15.75" customHeight="1">
      <c r="I859" s="24"/>
      <c r="J859" s="25"/>
    </row>
    <row r="860" spans="9:10" ht="15.75" customHeight="1">
      <c r="I860" s="24"/>
      <c r="J860" s="25"/>
    </row>
    <row r="861" spans="9:10" ht="15.75" customHeight="1">
      <c r="I861" s="24"/>
      <c r="J861" s="25"/>
    </row>
    <row r="862" spans="9:10" ht="15.75" customHeight="1">
      <c r="I862" s="24"/>
      <c r="J862" s="25"/>
    </row>
    <row r="863" spans="9:10" ht="15.75" customHeight="1">
      <c r="I863" s="24"/>
      <c r="J863" s="25"/>
    </row>
    <row r="864" spans="9:10" ht="15.75" customHeight="1">
      <c r="I864" s="24"/>
      <c r="J864" s="25"/>
    </row>
    <row r="865" spans="9:10" ht="15.75" customHeight="1">
      <c r="I865" s="24"/>
      <c r="J865" s="25"/>
    </row>
    <row r="866" spans="9:10" ht="15.75" customHeight="1">
      <c r="I866" s="24"/>
      <c r="J866" s="25"/>
    </row>
    <row r="867" spans="9:10" ht="15.75" customHeight="1">
      <c r="I867" s="24"/>
      <c r="J867" s="25"/>
    </row>
    <row r="868" spans="9:10" ht="15.75" customHeight="1">
      <c r="I868" s="24"/>
      <c r="J868" s="25"/>
    </row>
    <row r="869" spans="9:10" ht="15.75" customHeight="1">
      <c r="I869" s="24"/>
      <c r="J869" s="25"/>
    </row>
    <row r="870" spans="9:10" ht="15.75" customHeight="1">
      <c r="I870" s="24"/>
      <c r="J870" s="25"/>
    </row>
    <row r="871" spans="9:10" ht="15.75" customHeight="1">
      <c r="I871" s="24"/>
      <c r="J871" s="25"/>
    </row>
    <row r="872" spans="9:10" ht="15.75" customHeight="1">
      <c r="I872" s="24"/>
      <c r="J872" s="25"/>
    </row>
    <row r="873" spans="9:10" ht="15.75" customHeight="1">
      <c r="I873" s="24"/>
      <c r="J873" s="25"/>
    </row>
    <row r="874" spans="9:10" ht="15.75" customHeight="1">
      <c r="I874" s="24"/>
      <c r="J874" s="25"/>
    </row>
    <row r="875" spans="9:10" ht="15.75" customHeight="1">
      <c r="I875" s="24"/>
      <c r="J875" s="25"/>
    </row>
    <row r="876" spans="9:10" ht="15.75" customHeight="1">
      <c r="I876" s="24"/>
      <c r="J876" s="25"/>
    </row>
    <row r="877" spans="9:10" ht="15.75" customHeight="1">
      <c r="I877" s="24"/>
      <c r="J877" s="25"/>
    </row>
    <row r="878" spans="9:10" ht="15.75" customHeight="1">
      <c r="I878" s="24"/>
      <c r="J878" s="25"/>
    </row>
    <row r="879" spans="9:10" ht="15.75" customHeight="1">
      <c r="I879" s="24"/>
      <c r="J879" s="25"/>
    </row>
    <row r="880" spans="9:10" ht="15.75" customHeight="1">
      <c r="I880" s="24"/>
      <c r="J880" s="25"/>
    </row>
    <row r="881" spans="9:10" ht="15.75" customHeight="1">
      <c r="I881" s="24"/>
      <c r="J881" s="25"/>
    </row>
    <row r="882" spans="9:10" ht="15.75" customHeight="1">
      <c r="I882" s="24"/>
      <c r="J882" s="25"/>
    </row>
    <row r="883" spans="9:10" ht="15.75" customHeight="1">
      <c r="I883" s="24"/>
      <c r="J883" s="25"/>
    </row>
    <row r="884" spans="9:10" ht="15.75" customHeight="1">
      <c r="I884" s="24"/>
      <c r="J884" s="25"/>
    </row>
    <row r="885" spans="9:10" ht="15.75" customHeight="1">
      <c r="I885" s="24"/>
      <c r="J885" s="25"/>
    </row>
    <row r="886" spans="9:10" ht="15.75" customHeight="1">
      <c r="I886" s="24"/>
      <c r="J886" s="25"/>
    </row>
    <row r="887" spans="9:10" ht="15.75" customHeight="1">
      <c r="I887" s="24"/>
      <c r="J887" s="25"/>
    </row>
    <row r="888" spans="9:10" ht="15.75" customHeight="1">
      <c r="I888" s="24"/>
      <c r="J888" s="25"/>
    </row>
    <row r="889" spans="9:10" ht="15.75" customHeight="1">
      <c r="I889" s="24"/>
      <c r="J889" s="25"/>
    </row>
    <row r="890" spans="9:10" ht="15.75" customHeight="1">
      <c r="I890" s="24"/>
      <c r="J890" s="25"/>
    </row>
    <row r="891" spans="9:10" ht="15.75" customHeight="1">
      <c r="I891" s="24"/>
      <c r="J891" s="25"/>
    </row>
    <row r="892" spans="9:10" ht="15.75" customHeight="1">
      <c r="I892" s="24"/>
      <c r="J892" s="25"/>
    </row>
    <row r="893" spans="9:10" ht="15.75" customHeight="1">
      <c r="I893" s="24"/>
      <c r="J893" s="25"/>
    </row>
    <row r="894" spans="9:10" ht="15.75" customHeight="1">
      <c r="I894" s="24"/>
      <c r="J894" s="25"/>
    </row>
    <row r="895" spans="9:10" ht="15.75" customHeight="1">
      <c r="I895" s="24"/>
      <c r="J895" s="25"/>
    </row>
    <row r="896" spans="9:10" ht="15.75" customHeight="1">
      <c r="I896" s="24"/>
      <c r="J896" s="25"/>
    </row>
    <row r="897" spans="9:10" ht="15.75" customHeight="1">
      <c r="I897" s="24"/>
      <c r="J897" s="25"/>
    </row>
    <row r="898" spans="9:10" ht="15.75" customHeight="1">
      <c r="I898" s="24"/>
      <c r="J898" s="25"/>
    </row>
    <row r="899" spans="9:10" ht="15.75" customHeight="1">
      <c r="I899" s="24"/>
      <c r="J899" s="25"/>
    </row>
    <row r="900" spans="9:10" ht="15.75" customHeight="1">
      <c r="I900" s="24"/>
      <c r="J900" s="25"/>
    </row>
    <row r="901" spans="9:10" ht="15.75" customHeight="1">
      <c r="I901" s="24"/>
      <c r="J901" s="25"/>
    </row>
    <row r="902" spans="9:10" ht="15.75" customHeight="1">
      <c r="I902" s="24"/>
      <c r="J902" s="25"/>
    </row>
    <row r="903" spans="9:10" ht="15.75" customHeight="1">
      <c r="I903" s="24"/>
      <c r="J903" s="25"/>
    </row>
    <row r="904" spans="9:10" ht="15.75" customHeight="1">
      <c r="I904" s="24"/>
      <c r="J904" s="25"/>
    </row>
    <row r="905" spans="9:10" ht="15.75" customHeight="1">
      <c r="I905" s="24"/>
      <c r="J905" s="25"/>
    </row>
    <row r="906" spans="9:10" ht="15.75" customHeight="1">
      <c r="I906" s="24"/>
      <c r="J906" s="25"/>
    </row>
    <row r="907" spans="9:10" ht="15.75" customHeight="1">
      <c r="I907" s="24"/>
      <c r="J907" s="25"/>
    </row>
    <row r="908" spans="9:10" ht="15.75" customHeight="1">
      <c r="I908" s="24"/>
      <c r="J908" s="25"/>
    </row>
    <row r="909" spans="9:10" ht="15.75" customHeight="1">
      <c r="I909" s="24"/>
      <c r="J909" s="25"/>
    </row>
    <row r="910" spans="9:10" ht="15.75" customHeight="1">
      <c r="I910" s="24"/>
      <c r="J910" s="25"/>
    </row>
    <row r="911" spans="9:10" ht="15.75" customHeight="1">
      <c r="I911" s="24"/>
      <c r="J911" s="25"/>
    </row>
    <row r="912" spans="9:10" ht="15.75" customHeight="1">
      <c r="I912" s="24"/>
      <c r="J912" s="25"/>
    </row>
    <row r="913" spans="9:10" ht="15.75" customHeight="1">
      <c r="I913" s="24"/>
      <c r="J913" s="25"/>
    </row>
    <row r="914" spans="9:10" ht="15.75" customHeight="1">
      <c r="I914" s="24"/>
      <c r="J914" s="25"/>
    </row>
    <row r="915" spans="9:10" ht="15.75" customHeight="1">
      <c r="I915" s="24"/>
      <c r="J915" s="25"/>
    </row>
    <row r="916" spans="9:10" ht="15.75" customHeight="1">
      <c r="I916" s="24"/>
      <c r="J916" s="25"/>
    </row>
    <row r="917" spans="9:10" ht="15.75" customHeight="1">
      <c r="I917" s="24"/>
      <c r="J917" s="25"/>
    </row>
    <row r="918" spans="9:10" ht="15.75" customHeight="1">
      <c r="I918" s="24"/>
      <c r="J918" s="25"/>
    </row>
    <row r="919" spans="9:10" ht="15.75" customHeight="1">
      <c r="I919" s="24"/>
      <c r="J919" s="25"/>
    </row>
    <row r="920" spans="9:10" ht="15.75" customHeight="1">
      <c r="I920" s="24"/>
      <c r="J920" s="25"/>
    </row>
    <row r="921" spans="9:10" ht="15.75" customHeight="1">
      <c r="I921" s="24"/>
      <c r="J921" s="25"/>
    </row>
    <row r="922" spans="9:10" ht="15.75" customHeight="1">
      <c r="I922" s="24"/>
      <c r="J922" s="25"/>
    </row>
    <row r="923" spans="9:10" ht="15.75" customHeight="1">
      <c r="I923" s="24"/>
      <c r="J923" s="25"/>
    </row>
    <row r="924" spans="9:10" ht="15.75" customHeight="1">
      <c r="I924" s="24"/>
      <c r="J924" s="25"/>
    </row>
    <row r="925" spans="9:10" ht="15.75" customHeight="1">
      <c r="I925" s="24"/>
      <c r="J925" s="25"/>
    </row>
    <row r="926" spans="9:10" ht="15.75" customHeight="1">
      <c r="I926" s="24"/>
      <c r="J926" s="25"/>
    </row>
    <row r="927" spans="9:10" ht="15.75" customHeight="1">
      <c r="I927" s="24"/>
      <c r="J927" s="25"/>
    </row>
    <row r="928" spans="9:10" ht="15.75" customHeight="1">
      <c r="I928" s="24"/>
      <c r="J928" s="25"/>
    </row>
    <row r="929" spans="9:10" ht="15.75" customHeight="1">
      <c r="I929" s="24"/>
      <c r="J929" s="25"/>
    </row>
    <row r="930" spans="9:10" ht="15.75" customHeight="1">
      <c r="I930" s="24"/>
      <c r="J930" s="25"/>
    </row>
    <row r="931" spans="9:10" ht="15.75" customHeight="1">
      <c r="I931" s="24"/>
      <c r="J931" s="25"/>
    </row>
    <row r="932" spans="9:10" ht="15.75" customHeight="1">
      <c r="I932" s="24"/>
      <c r="J932" s="25"/>
    </row>
    <row r="933" spans="9:10" ht="15.75" customHeight="1">
      <c r="I933" s="24"/>
      <c r="J933" s="25"/>
    </row>
    <row r="934" spans="9:10" ht="15.75" customHeight="1">
      <c r="I934" s="24"/>
      <c r="J934" s="25"/>
    </row>
    <row r="935" spans="9:10" ht="15.75" customHeight="1">
      <c r="I935" s="24"/>
      <c r="J935" s="25"/>
    </row>
    <row r="936" spans="9:10" ht="15.75" customHeight="1">
      <c r="I936" s="24"/>
      <c r="J936" s="25"/>
    </row>
    <row r="937" spans="9:10" ht="15.75" customHeight="1">
      <c r="I937" s="24"/>
      <c r="J937" s="25"/>
    </row>
    <row r="938" spans="9:10" ht="15.75" customHeight="1">
      <c r="I938" s="24"/>
      <c r="J938" s="25"/>
    </row>
    <row r="939" spans="9:10" ht="15.75" customHeight="1">
      <c r="I939" s="24"/>
      <c r="J939" s="25"/>
    </row>
    <row r="940" spans="9:10" ht="15.75" customHeight="1">
      <c r="I940" s="24"/>
      <c r="J940" s="25"/>
    </row>
    <row r="941" spans="9:10" ht="15.75" customHeight="1">
      <c r="I941" s="24"/>
      <c r="J941" s="25"/>
    </row>
    <row r="942" spans="9:10" ht="15.75" customHeight="1">
      <c r="I942" s="24"/>
      <c r="J942" s="25"/>
    </row>
    <row r="943" spans="9:10" ht="15.75" customHeight="1">
      <c r="I943" s="24"/>
      <c r="J943" s="25"/>
    </row>
    <row r="944" spans="9:10" ht="15.75" customHeight="1">
      <c r="I944" s="24"/>
      <c r="J944" s="25"/>
    </row>
    <row r="945" spans="9:10" ht="15.75" customHeight="1">
      <c r="I945" s="24"/>
      <c r="J945" s="25"/>
    </row>
    <row r="946" spans="9:10" ht="15.75" customHeight="1">
      <c r="I946" s="24"/>
      <c r="J946" s="25"/>
    </row>
    <row r="947" spans="9:10" ht="15.75" customHeight="1">
      <c r="I947" s="24"/>
      <c r="J947" s="25"/>
    </row>
    <row r="948" spans="9:10" ht="15.75" customHeight="1">
      <c r="I948" s="24"/>
      <c r="J948" s="25"/>
    </row>
    <row r="949" spans="9:10" ht="15.75" customHeight="1">
      <c r="I949" s="24"/>
      <c r="J949" s="25"/>
    </row>
    <row r="950" spans="9:10" ht="15.75" customHeight="1">
      <c r="I950" s="24"/>
      <c r="J950" s="25"/>
    </row>
    <row r="951" spans="9:10" ht="15.75" customHeight="1">
      <c r="I951" s="24"/>
      <c r="J951" s="25"/>
    </row>
    <row r="952" spans="9:10" ht="15.75" customHeight="1">
      <c r="I952" s="24"/>
      <c r="J952" s="25"/>
    </row>
    <row r="953" spans="9:10" ht="15.75" customHeight="1">
      <c r="I953" s="24"/>
      <c r="J953" s="25"/>
    </row>
    <row r="954" spans="9:10" ht="15.75" customHeight="1">
      <c r="I954" s="24"/>
      <c r="J954" s="25"/>
    </row>
    <row r="955" spans="9:10" ht="15.75" customHeight="1">
      <c r="I955" s="24"/>
      <c r="J955" s="25"/>
    </row>
    <row r="956" spans="9:10" ht="15.75" customHeight="1">
      <c r="I956" s="24"/>
      <c r="J956" s="25"/>
    </row>
    <row r="957" spans="9:10" ht="15.75" customHeight="1">
      <c r="I957" s="24"/>
      <c r="J957" s="25"/>
    </row>
    <row r="958" spans="9:10" ht="15.75" customHeight="1">
      <c r="I958" s="24"/>
      <c r="J958" s="25"/>
    </row>
    <row r="959" spans="9:10" ht="15.75" customHeight="1">
      <c r="I959" s="24"/>
      <c r="J959" s="25"/>
    </row>
    <row r="960" spans="9:10" ht="15.75" customHeight="1">
      <c r="I960" s="24"/>
      <c r="J960" s="25"/>
    </row>
    <row r="961" spans="9:10" ht="15.75" customHeight="1">
      <c r="I961" s="24"/>
      <c r="J961" s="25"/>
    </row>
    <row r="962" spans="9:10" ht="15.75" customHeight="1">
      <c r="I962" s="24"/>
      <c r="J962" s="25"/>
    </row>
    <row r="963" spans="9:10" ht="15.75" customHeight="1">
      <c r="I963" s="24"/>
      <c r="J963" s="25"/>
    </row>
    <row r="964" spans="9:10" ht="15.75" customHeight="1">
      <c r="I964" s="24"/>
      <c r="J964" s="25"/>
    </row>
    <row r="965" spans="9:10" ht="15.75" customHeight="1">
      <c r="I965" s="24"/>
      <c r="J965" s="25"/>
    </row>
    <row r="966" spans="9:10" ht="15.75" customHeight="1">
      <c r="I966" s="24"/>
      <c r="J966" s="25"/>
    </row>
    <row r="967" spans="9:10" ht="15.75" customHeight="1">
      <c r="I967" s="24"/>
      <c r="J967" s="25"/>
    </row>
    <row r="968" spans="9:10" ht="15.75" customHeight="1">
      <c r="I968" s="24"/>
      <c r="J968" s="25"/>
    </row>
    <row r="969" spans="9:10" ht="15.75" customHeight="1">
      <c r="I969" s="24"/>
      <c r="J969" s="25"/>
    </row>
    <row r="970" spans="9:10" ht="15.75" customHeight="1">
      <c r="I970" s="24"/>
      <c r="J970" s="25"/>
    </row>
    <row r="971" spans="9:10" ht="15.75" customHeight="1">
      <c r="I971" s="24"/>
      <c r="J971" s="25"/>
    </row>
    <row r="972" spans="9:10" ht="15.75" customHeight="1">
      <c r="I972" s="24"/>
      <c r="J972" s="25"/>
    </row>
    <row r="973" spans="9:10" ht="15.75" customHeight="1">
      <c r="I973" s="24"/>
      <c r="J973" s="25"/>
    </row>
    <row r="974" spans="9:10" ht="15.75" customHeight="1">
      <c r="I974" s="24"/>
      <c r="J974" s="25"/>
    </row>
    <row r="975" spans="9:10" ht="15.75" customHeight="1">
      <c r="I975" s="24"/>
      <c r="J975" s="25"/>
    </row>
    <row r="976" spans="9:10" ht="15.75" customHeight="1">
      <c r="I976" s="24"/>
      <c r="J976" s="25"/>
    </row>
    <row r="977" spans="9:10" ht="15.75" customHeight="1">
      <c r="I977" s="24"/>
      <c r="J977" s="25"/>
    </row>
    <row r="978" spans="9:10" ht="15.75" customHeight="1">
      <c r="I978" s="24"/>
      <c r="J978" s="25"/>
    </row>
    <row r="979" spans="9:10" ht="15.75" customHeight="1">
      <c r="I979" s="24"/>
      <c r="J979" s="25"/>
    </row>
    <row r="980" spans="9:10" ht="15.75" customHeight="1">
      <c r="I980" s="24"/>
      <c r="J980" s="25"/>
    </row>
    <row r="981" spans="9:10" ht="15.75" customHeight="1">
      <c r="I981" s="24"/>
      <c r="J981" s="25"/>
    </row>
    <row r="982" spans="9:10" ht="15.75" customHeight="1">
      <c r="I982" s="24"/>
      <c r="J982" s="25"/>
    </row>
    <row r="983" spans="9:10" ht="15.75" customHeight="1">
      <c r="I983" s="24"/>
      <c r="J983" s="25"/>
    </row>
    <row r="984" spans="9:10" ht="15.75" customHeight="1">
      <c r="I984" s="24"/>
      <c r="J984" s="25"/>
    </row>
    <row r="985" spans="9:10" ht="15.75" customHeight="1">
      <c r="I985" s="24"/>
      <c r="J985" s="25"/>
    </row>
    <row r="986" spans="9:10" ht="15.75" customHeight="1">
      <c r="I986" s="24"/>
      <c r="J986" s="25"/>
    </row>
    <row r="987" spans="9:10" ht="15.75" customHeight="1">
      <c r="I987" s="24"/>
      <c r="J987" s="25"/>
    </row>
    <row r="988" spans="9:10" ht="15.75" customHeight="1">
      <c r="I988" s="24"/>
      <c r="J988" s="25"/>
    </row>
    <row r="989" spans="9:10" ht="15.75" customHeight="1">
      <c r="I989" s="24"/>
      <c r="J989" s="25"/>
    </row>
    <row r="990" spans="9:10" ht="15.75" customHeight="1">
      <c r="I990" s="24"/>
      <c r="J990" s="25"/>
    </row>
    <row r="991" spans="9:10" ht="15.75" customHeight="1">
      <c r="I991" s="24"/>
      <c r="J991" s="25"/>
    </row>
    <row r="992" spans="9:10" ht="15.75" customHeight="1">
      <c r="I992" s="24"/>
      <c r="J992" s="25"/>
    </row>
    <row r="993" spans="9:10" ht="15.75" customHeight="1">
      <c r="I993" s="24"/>
      <c r="J993" s="25"/>
    </row>
    <row r="994" spans="9:10" ht="15.75" customHeight="1">
      <c r="I994" s="24"/>
      <c r="J994" s="25"/>
    </row>
    <row r="995" spans="9:10" ht="15.75" customHeight="1">
      <c r="I995" s="24"/>
      <c r="J995" s="25"/>
    </row>
    <row r="996" spans="9:10" ht="15.75" customHeight="1">
      <c r="I996" s="24"/>
      <c r="J996" s="25"/>
    </row>
    <row r="997" spans="9:10" ht="15.75" customHeight="1">
      <c r="I997" s="24"/>
      <c r="J997" s="25"/>
    </row>
    <row r="998" spans="9:10" ht="15.75" customHeight="1">
      <c r="I998" s="24"/>
      <c r="J998" s="25"/>
    </row>
    <row r="999" spans="9:10" ht="15.75" customHeight="1">
      <c r="I999" s="24"/>
      <c r="J999" s="25"/>
    </row>
    <row r="1000" spans="9:10" ht="15.75" customHeight="1">
      <c r="I1000" s="24"/>
      <c r="J1000" s="25"/>
    </row>
    <row r="1001" spans="9:10" ht="15.75" customHeight="1">
      <c r="I1001" s="24"/>
      <c r="J1001" s="25"/>
    </row>
    <row r="1002" spans="9:10" ht="15.75" customHeight="1">
      <c r="I1002" s="24"/>
      <c r="J1002" s="25"/>
    </row>
    <row r="1003" spans="9:10" ht="15.75" customHeight="1">
      <c r="I1003" s="24"/>
      <c r="J1003" s="25"/>
    </row>
    <row r="1004" spans="9:10" ht="15.75" customHeight="1">
      <c r="I1004" s="24"/>
      <c r="J1004" s="25"/>
    </row>
    <row r="1005" spans="9:10" ht="15.75" customHeight="1">
      <c r="I1005" s="24"/>
      <c r="J1005" s="25"/>
    </row>
    <row r="1006" spans="9:10" ht="15.75" customHeight="1">
      <c r="I1006" s="24"/>
      <c r="J1006" s="25"/>
    </row>
    <row r="1007" spans="9:10" ht="15.75" customHeight="1">
      <c r="I1007" s="24"/>
      <c r="J1007" s="25"/>
    </row>
    <row r="1008" spans="9:10" ht="15.75" customHeight="1">
      <c r="I1008" s="24"/>
      <c r="J1008" s="25"/>
    </row>
    <row r="1009" spans="9:10" ht="15.75" customHeight="1">
      <c r="I1009" s="24"/>
      <c r="J1009" s="25"/>
    </row>
    <row r="1010" spans="9:10" ht="15.75" customHeight="1">
      <c r="I1010" s="24"/>
      <c r="J1010" s="25"/>
    </row>
    <row r="1011" spans="9:10" ht="15.75" customHeight="1">
      <c r="I1011" s="24"/>
      <c r="J1011" s="25"/>
    </row>
    <row r="1012" spans="9:10" ht="15.75" customHeight="1">
      <c r="I1012" s="24"/>
      <c r="J1012" s="25"/>
    </row>
    <row r="1013" spans="9:10" ht="15.75" customHeight="1">
      <c r="I1013" s="24"/>
      <c r="J1013" s="25"/>
    </row>
    <row r="1014" spans="9:10" ht="15.75" customHeight="1">
      <c r="I1014" s="24"/>
      <c r="J1014" s="25"/>
    </row>
    <row r="1015" spans="9:10" ht="15.75" customHeight="1">
      <c r="I1015" s="24"/>
      <c r="J1015" s="25"/>
    </row>
    <row r="1016" spans="9:10" ht="15.75" customHeight="1">
      <c r="I1016" s="24"/>
      <c r="J1016" s="25"/>
    </row>
    <row r="1017" spans="9:10" ht="15.75" customHeight="1">
      <c r="I1017" s="24"/>
      <c r="J1017" s="25"/>
    </row>
  </sheetData>
  <hyperlinks>
    <hyperlink ref="P21" r:id="rId1" xr:uid="{965FA6B1-D83B-4BBE-BFB7-AED9CC1C6FC7}"/>
  </hyperlinks>
  <pageMargins left="0.7" right="0.45664206642066402" top="0.55811808118081196" bottom="5.3883763837638403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Sheet1!LowLevelv3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黄梓彧</dc:creator>
  <cp:lastModifiedBy>Tyler Folsom</cp:lastModifiedBy>
  <dcterms:created xsi:type="dcterms:W3CDTF">2026-01-13T20:25:00Z</dcterms:created>
  <dcterms:modified xsi:type="dcterms:W3CDTF">2026-05-06T20:03:46Z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B61257F8B3D041E3949B60D93C49248A_12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